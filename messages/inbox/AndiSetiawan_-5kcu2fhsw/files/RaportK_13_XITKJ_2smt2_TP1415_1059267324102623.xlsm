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
    </mc:Choice>
  </mc:AlternateContent>
  <bookViews>
    <workbookView minimized="1" xWindow="240" yWindow="75" windowWidth="11790" windowHeight="4860" tabRatio="915" activeTab="5"/>
  </bookViews>
  <sheets>
    <sheet name="RK2013" sheetId="7" r:id="rId1"/>
    <sheet name="Informasi_Rapot" sheetId="6" r:id="rId2"/>
    <sheet name="Peserta_Didik" sheetId="3" r:id="rId3"/>
    <sheet name="Mata_Pelajaran" sheetId="9" r:id="rId4"/>
    <sheet name="Deskripsi1" sheetId="12" r:id="rId5"/>
    <sheet name="Capaian1" sheetId="10" r:id="rId6"/>
    <sheet name="Sampul1" sheetId="4" r:id="rId7"/>
    <sheet name="Sampul2" sheetId="1" r:id="rId8"/>
    <sheet name="Keterangan_Diri" sheetId="5" r:id="rId9"/>
    <sheet name="Cetak_Capaian1" sheetId="8" r:id="rId10"/>
    <sheet name="Cetak_Deskripsi1" sheetId="11" r:id="rId11"/>
    <sheet name="Leger_Capaian1" sheetId="13" r:id="rId12"/>
    <sheet name="Leger_Deskripsi1" sheetId="14" state="hidden" r:id="rId13"/>
    <sheet name="Tnd_Terima" sheetId="15" r:id="rId14"/>
    <sheet name="Sheet2" sheetId="16" r:id="rId15"/>
  </sheets>
  <externalReferences>
    <externalReference r:id="rId16"/>
  </externalReferences>
  <definedNames>
    <definedName name="_xlnm._FilterDatabase" localSheetId="8" hidden="1">Keterangan_Diri!$G$2:$H$2</definedName>
    <definedName name="_xlnm._FilterDatabase" localSheetId="0" hidden="1">'RK2013'!$F$12:$F$14</definedName>
    <definedName name="Ganjil">'RK2013'!$F$13:$F$14</definedName>
    <definedName name="_xlnm.Print_Area" localSheetId="9">Cetak_Capaian1!$B$2:$J$104</definedName>
    <definedName name="_xlnm.Print_Area" localSheetId="10">Cetak_Deskripsi1!$B$2:$G$120</definedName>
    <definedName name="_xlnm.Print_Area" localSheetId="8">Keterangan_Diri!$A$2:$E$43</definedName>
    <definedName name="_xlnm.Print_Area" localSheetId="11">Leger_Capaian1!$B$1:$DC$53</definedName>
    <definedName name="_xlnm.Print_Area" localSheetId="6">Sampul1!$A$2:$B$20</definedName>
    <definedName name="_xlnm.Print_Area" localSheetId="7">Sampul2!$A$1:$F$15</definedName>
    <definedName name="_xlnm.Print_Titles" localSheetId="9">Cetak_Capaian1!$17:$20</definedName>
    <definedName name="_xlnm.Print_Titles" localSheetId="10">Cetak_Deskripsi1!$17:$17</definedName>
    <definedName name="_xlnm.Print_Titles" localSheetId="11">Leger_Capaian1!$B:$D</definedName>
  </definedNames>
  <calcPr calcId="152511"/>
</workbook>
</file>

<file path=xl/calcChain.xml><?xml version="1.0" encoding="utf-8"?>
<calcChain xmlns="http://schemas.openxmlformats.org/spreadsheetml/2006/main">
  <c r="D54" i="15" l="1"/>
  <c r="D53" i="15"/>
  <c r="D48" i="15"/>
  <c r="A4" i="15"/>
  <c r="A3"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A43" i="15"/>
  <c r="A44" i="15"/>
  <c r="A45" i="15"/>
  <c r="A46" i="15"/>
  <c r="A32" i="15"/>
  <c r="A33" i="15"/>
  <c r="A34" i="15"/>
  <c r="A35" i="15"/>
  <c r="A36" i="15"/>
  <c r="A37" i="15"/>
  <c r="A38" i="15"/>
  <c r="A39" i="15"/>
  <c r="A40" i="15"/>
  <c r="A41" i="15"/>
  <c r="A42" i="15"/>
  <c r="A7" i="15"/>
  <c r="A8" i="15"/>
  <c r="A9" i="15"/>
  <c r="A10" i="15"/>
  <c r="A11" i="15"/>
  <c r="A12" i="15"/>
  <c r="A13" i="15"/>
  <c r="A14" i="15"/>
  <c r="A15" i="15"/>
  <c r="A16" i="15"/>
  <c r="A17" i="15"/>
  <c r="A18" i="15"/>
  <c r="A19" i="15"/>
  <c r="A20" i="15"/>
  <c r="A21" i="15"/>
  <c r="A22" i="15"/>
  <c r="A23" i="15"/>
  <c r="A24" i="15"/>
  <c r="A25" i="15"/>
  <c r="A26" i="15"/>
  <c r="A27" i="15"/>
  <c r="A28" i="15"/>
  <c r="A29" i="15"/>
  <c r="A30" i="15"/>
  <c r="A31" i="15"/>
  <c r="A6" i="15"/>
  <c r="E3" i="16" l="1"/>
  <c r="F3" i="16"/>
  <c r="D3"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 i="16"/>
  <c r="CY6" i="10"/>
  <c r="D5" i="16" s="1"/>
  <c r="CZ6" i="10"/>
  <c r="E5" i="16" s="1"/>
  <c r="CY7" i="10"/>
  <c r="D6" i="16" s="1"/>
  <c r="CZ7" i="10"/>
  <c r="E6" i="16" s="1"/>
  <c r="CY8" i="10"/>
  <c r="D7" i="16" s="1"/>
  <c r="CZ8" i="10"/>
  <c r="E7" i="16" s="1"/>
  <c r="CY9" i="10"/>
  <c r="D8" i="16" s="1"/>
  <c r="CZ9" i="10"/>
  <c r="E8" i="16" s="1"/>
  <c r="CY10" i="10"/>
  <c r="D9" i="16" s="1"/>
  <c r="CZ10" i="10"/>
  <c r="E9" i="16" s="1"/>
  <c r="CY11" i="10"/>
  <c r="D10" i="16" s="1"/>
  <c r="CZ11" i="10"/>
  <c r="E10" i="16" s="1"/>
  <c r="CY12" i="10"/>
  <c r="D11" i="16" s="1"/>
  <c r="CZ12" i="10"/>
  <c r="E11" i="16" s="1"/>
  <c r="CY13" i="10"/>
  <c r="D12" i="16" s="1"/>
  <c r="CZ13" i="10"/>
  <c r="E12" i="16" s="1"/>
  <c r="CY14" i="10"/>
  <c r="D13" i="16" s="1"/>
  <c r="CZ14" i="10"/>
  <c r="E13" i="16" s="1"/>
  <c r="CY15" i="10"/>
  <c r="D14" i="16" s="1"/>
  <c r="CZ15" i="10"/>
  <c r="E14" i="16" s="1"/>
  <c r="CY16" i="10"/>
  <c r="D15" i="16" s="1"/>
  <c r="CZ16" i="10"/>
  <c r="E15" i="16" s="1"/>
  <c r="CY17" i="10"/>
  <c r="D16" i="16" s="1"/>
  <c r="CZ17" i="10"/>
  <c r="E16" i="16" s="1"/>
  <c r="CY18" i="10"/>
  <c r="D17" i="16" s="1"/>
  <c r="CZ18" i="10"/>
  <c r="E17" i="16" s="1"/>
  <c r="CY19" i="10"/>
  <c r="D18" i="16" s="1"/>
  <c r="CZ19" i="10"/>
  <c r="E18" i="16" s="1"/>
  <c r="CY20" i="10"/>
  <c r="D19" i="16" s="1"/>
  <c r="CZ20" i="10"/>
  <c r="E19" i="16" s="1"/>
  <c r="CY21" i="10"/>
  <c r="D20" i="16" s="1"/>
  <c r="CZ21" i="10"/>
  <c r="E20" i="16" s="1"/>
  <c r="CY22" i="10"/>
  <c r="D21" i="16" s="1"/>
  <c r="CZ22" i="10"/>
  <c r="E21" i="16" s="1"/>
  <c r="CY23" i="10"/>
  <c r="D22" i="16" s="1"/>
  <c r="CZ23" i="10"/>
  <c r="E22" i="16" s="1"/>
  <c r="CY24" i="10"/>
  <c r="D23" i="16" s="1"/>
  <c r="CZ24" i="10"/>
  <c r="E23" i="16" s="1"/>
  <c r="CY25" i="10"/>
  <c r="D24" i="16" s="1"/>
  <c r="CZ25" i="10"/>
  <c r="E24" i="16" s="1"/>
  <c r="CY26" i="10"/>
  <c r="D25" i="16" s="1"/>
  <c r="CZ26" i="10"/>
  <c r="E25" i="16" s="1"/>
  <c r="CY27" i="10"/>
  <c r="CZ27" i="10"/>
  <c r="E26" i="16" s="1"/>
  <c r="CY28" i="10"/>
  <c r="D27" i="16" s="1"/>
  <c r="CZ28" i="10"/>
  <c r="E27" i="16" s="1"/>
  <c r="CY29" i="10"/>
  <c r="D28" i="16" s="1"/>
  <c r="CZ29" i="10"/>
  <c r="E28" i="16" s="1"/>
  <c r="CY30" i="10"/>
  <c r="CZ30" i="10"/>
  <c r="E29" i="16" s="1"/>
  <c r="CY31" i="10"/>
  <c r="CZ31" i="10"/>
  <c r="E30" i="16" s="1"/>
  <c r="CY32" i="10"/>
  <c r="D31" i="16" s="1"/>
  <c r="CZ32" i="10"/>
  <c r="E31" i="16" s="1"/>
  <c r="CY33" i="10"/>
  <c r="D32" i="16" s="1"/>
  <c r="CZ33" i="10"/>
  <c r="E32" i="16" s="1"/>
  <c r="CY34" i="10"/>
  <c r="CZ34" i="10"/>
  <c r="E33" i="16" s="1"/>
  <c r="CY35" i="10"/>
  <c r="CZ35" i="10"/>
  <c r="E34" i="16" s="1"/>
  <c r="CY36" i="10"/>
  <c r="D35" i="16" s="1"/>
  <c r="CZ36" i="10"/>
  <c r="E35" i="16" s="1"/>
  <c r="CY37" i="10"/>
  <c r="D36" i="16" s="1"/>
  <c r="CZ37" i="10"/>
  <c r="E36" i="16" s="1"/>
  <c r="CY38" i="10"/>
  <c r="CZ38" i="10"/>
  <c r="E37" i="16" s="1"/>
  <c r="CY39" i="10"/>
  <c r="CZ39" i="10"/>
  <c r="E38" i="16" s="1"/>
  <c r="CY40" i="10"/>
  <c r="D39" i="16" s="1"/>
  <c r="CZ40" i="10"/>
  <c r="E39" i="16" s="1"/>
  <c r="CY41" i="10"/>
  <c r="D40" i="16" s="1"/>
  <c r="CZ41" i="10"/>
  <c r="E40" i="16" s="1"/>
  <c r="CY42" i="10"/>
  <c r="CZ42" i="10"/>
  <c r="E41" i="16" s="1"/>
  <c r="CY43" i="10"/>
  <c r="CZ43" i="10"/>
  <c r="E42" i="16" s="1"/>
  <c r="CY44" i="10"/>
  <c r="D43" i="16" s="1"/>
  <c r="CZ44" i="10"/>
  <c r="E43" i="16" s="1"/>
  <c r="CZ5" i="10"/>
  <c r="E4" i="16" s="1"/>
  <c r="CY5" i="10"/>
  <c r="D4" i="16" s="1"/>
  <c r="DA42" i="10" l="1"/>
  <c r="F41" i="16" s="1"/>
  <c r="DA38" i="10"/>
  <c r="F37" i="16" s="1"/>
  <c r="DA34" i="10"/>
  <c r="F33" i="16" s="1"/>
  <c r="DA30" i="10"/>
  <c r="F29" i="16" s="1"/>
  <c r="DA43" i="10"/>
  <c r="F42" i="16" s="1"/>
  <c r="DA39" i="10"/>
  <c r="F38" i="16" s="1"/>
  <c r="DA35" i="10"/>
  <c r="F34" i="16" s="1"/>
  <c r="DA31" i="10"/>
  <c r="F30" i="16" s="1"/>
  <c r="DA41" i="10"/>
  <c r="F40" i="16" s="1"/>
  <c r="DA37" i="10"/>
  <c r="F36" i="16" s="1"/>
  <c r="DA33" i="10"/>
  <c r="F32" i="16" s="1"/>
  <c r="DA29" i="10"/>
  <c r="F28" i="16" s="1"/>
  <c r="D42" i="16"/>
  <c r="D38" i="16"/>
  <c r="D34" i="16"/>
  <c r="D30" i="16"/>
  <c r="DA44" i="10"/>
  <c r="F43" i="16" s="1"/>
  <c r="DA40" i="10"/>
  <c r="F39" i="16" s="1"/>
  <c r="DA36" i="10"/>
  <c r="F35" i="16" s="1"/>
  <c r="DA32" i="10"/>
  <c r="F31" i="16" s="1"/>
  <c r="DA28" i="10"/>
  <c r="F27" i="16" s="1"/>
  <c r="D41" i="16"/>
  <c r="D37" i="16"/>
  <c r="D33" i="16"/>
  <c r="D29" i="16"/>
  <c r="DA27" i="10"/>
  <c r="F26" i="16" s="1"/>
  <c r="D26" i="16"/>
  <c r="DA5" i="10"/>
  <c r="DA25" i="10"/>
  <c r="DA21" i="10"/>
  <c r="DA17" i="10"/>
  <c r="DA13" i="10"/>
  <c r="DA9" i="10"/>
  <c r="DA24" i="10"/>
  <c r="DA20" i="10"/>
  <c r="DA16" i="10"/>
  <c r="DA12" i="10"/>
  <c r="DA8" i="10"/>
  <c r="DA23" i="10"/>
  <c r="DA19" i="10"/>
  <c r="DA15" i="10"/>
  <c r="DA11" i="10"/>
  <c r="DA7" i="10"/>
  <c r="DA26" i="10"/>
  <c r="DA22" i="10"/>
  <c r="DA18" i="10"/>
  <c r="DA14" i="10"/>
  <c r="DA10" i="10"/>
  <c r="DA6" i="10"/>
  <c r="J22" i="8"/>
  <c r="CU18" i="10" l="1"/>
  <c r="D20" i="15" s="1"/>
  <c r="F17" i="16"/>
  <c r="CU11" i="10"/>
  <c r="D13" i="15" s="1"/>
  <c r="F10" i="16"/>
  <c r="CU8" i="10"/>
  <c r="D10" i="15" s="1"/>
  <c r="F7" i="16"/>
  <c r="CU24" i="10"/>
  <c r="D26" i="15" s="1"/>
  <c r="F23" i="16"/>
  <c r="CU21" i="10"/>
  <c r="D23" i="15" s="1"/>
  <c r="F20" i="16"/>
  <c r="CU6" i="10"/>
  <c r="D8" i="15" s="1"/>
  <c r="F5" i="16"/>
  <c r="CU22" i="10"/>
  <c r="D24" i="15" s="1"/>
  <c r="F21" i="16"/>
  <c r="CU15" i="10"/>
  <c r="D17" i="15" s="1"/>
  <c r="F14" i="16"/>
  <c r="CU12" i="10"/>
  <c r="D14" i="15" s="1"/>
  <c r="F11" i="16"/>
  <c r="CU9" i="10"/>
  <c r="D11" i="15" s="1"/>
  <c r="F8" i="16"/>
  <c r="CU25" i="10"/>
  <c r="D27" i="15" s="1"/>
  <c r="F24" i="16"/>
  <c r="CU10" i="10"/>
  <c r="D12" i="15" s="1"/>
  <c r="F9" i="16"/>
  <c r="CU26" i="10"/>
  <c r="D28" i="15" s="1"/>
  <c r="F25" i="16"/>
  <c r="CU19" i="10"/>
  <c r="D21" i="15" s="1"/>
  <c r="F18" i="16"/>
  <c r="CU16" i="10"/>
  <c r="D18" i="15" s="1"/>
  <c r="F15" i="16"/>
  <c r="CU13" i="10"/>
  <c r="D15" i="15" s="1"/>
  <c r="F12" i="16"/>
  <c r="CU29" i="10"/>
  <c r="D31" i="15" s="1"/>
  <c r="CU33" i="10"/>
  <c r="D35" i="15" s="1"/>
  <c r="CU37" i="10"/>
  <c r="D39" i="15" s="1"/>
  <c r="CU41" i="10"/>
  <c r="D43" i="15" s="1"/>
  <c r="CU5" i="10"/>
  <c r="D7" i="15" s="1"/>
  <c r="CU30" i="10"/>
  <c r="D32" i="15" s="1"/>
  <c r="CU34" i="10"/>
  <c r="D36" i="15" s="1"/>
  <c r="CU38" i="10"/>
  <c r="D40" i="15" s="1"/>
  <c r="CU42" i="10"/>
  <c r="D44" i="15" s="1"/>
  <c r="CU27" i="10"/>
  <c r="D29" i="15" s="1"/>
  <c r="CU31" i="10"/>
  <c r="D33" i="15" s="1"/>
  <c r="CU35" i="10"/>
  <c r="D37" i="15" s="1"/>
  <c r="CU39" i="10"/>
  <c r="D41" i="15" s="1"/>
  <c r="CU43" i="10"/>
  <c r="D45" i="15" s="1"/>
  <c r="CU40" i="10"/>
  <c r="D42" i="15" s="1"/>
  <c r="CU32" i="10"/>
  <c r="D34" i="15" s="1"/>
  <c r="CU28" i="10"/>
  <c r="D30" i="15" s="1"/>
  <c r="CU44" i="10"/>
  <c r="D46" i="15" s="1"/>
  <c r="CU36" i="10"/>
  <c r="D38" i="15" s="1"/>
  <c r="F4" i="16"/>
  <c r="CU14" i="10"/>
  <c r="D16" i="15" s="1"/>
  <c r="F13" i="16"/>
  <c r="CU7" i="10"/>
  <c r="D9" i="15" s="1"/>
  <c r="F6" i="16"/>
  <c r="CU23" i="10"/>
  <c r="D25" i="15" s="1"/>
  <c r="F22" i="16"/>
  <c r="CU20" i="10"/>
  <c r="D22" i="15" s="1"/>
  <c r="F19" i="16"/>
  <c r="CU17" i="10"/>
  <c r="D19" i="15" s="1"/>
  <c r="F16" i="16"/>
  <c r="F8" i="7"/>
  <c r="C109" i="11"/>
  <c r="F111" i="11"/>
  <c r="F110" i="11"/>
  <c r="F109" i="11"/>
  <c r="F108" i="11"/>
  <c r="F107" i="11"/>
  <c r="F106" i="11"/>
  <c r="F104" i="11"/>
  <c r="F103" i="11"/>
  <c r="F102" i="11"/>
  <c r="F101" i="11"/>
  <c r="F100" i="11"/>
  <c r="F99" i="11"/>
  <c r="F98" i="11"/>
  <c r="F97" i="11"/>
  <c r="F96" i="11"/>
  <c r="F95" i="11"/>
  <c r="F94" i="11"/>
  <c r="F93" i="11"/>
  <c r="F92" i="11"/>
  <c r="F91" i="11"/>
  <c r="F90" i="11"/>
  <c r="F89" i="11"/>
  <c r="F88" i="11"/>
  <c r="F87" i="11"/>
  <c r="F85" i="11"/>
  <c r="F84" i="11"/>
  <c r="F83" i="11"/>
  <c r="C106" i="11"/>
  <c r="C102" i="11"/>
  <c r="C99" i="11"/>
  <c r="C96" i="11"/>
  <c r="C93" i="11"/>
  <c r="C83" i="11"/>
  <c r="F82" i="11"/>
  <c r="F81" i="11"/>
  <c r="F80" i="11"/>
  <c r="C80" i="11"/>
  <c r="G16" i="16" l="1"/>
  <c r="G22" i="16"/>
  <c r="G13" i="16"/>
  <c r="G19" i="16"/>
  <c r="G6" i="16"/>
  <c r="G28" i="16"/>
  <c r="G32" i="16"/>
  <c r="G36" i="16"/>
  <c r="G40" i="16"/>
  <c r="G4" i="16"/>
  <c r="G29" i="16"/>
  <c r="G33" i="16"/>
  <c r="G37" i="16"/>
  <c r="G41" i="16"/>
  <c r="G26" i="16"/>
  <c r="G30" i="16"/>
  <c r="G31" i="16"/>
  <c r="G34" i="16"/>
  <c r="G42" i="16"/>
  <c r="G35" i="16"/>
  <c r="G27" i="16"/>
  <c r="G38" i="16"/>
  <c r="G39" i="16"/>
  <c r="G43" i="16"/>
  <c r="J8" i="16"/>
  <c r="K8" i="16" s="1"/>
  <c r="J12" i="16"/>
  <c r="K12" i="16" s="1"/>
  <c r="J16" i="16"/>
  <c r="K16" i="16" s="1"/>
  <c r="J20" i="16"/>
  <c r="K20" i="16" s="1"/>
  <c r="J24" i="16"/>
  <c r="K24" i="16" s="1"/>
  <c r="J28" i="16"/>
  <c r="K28" i="16" s="1"/>
  <c r="J32" i="16"/>
  <c r="K32" i="16" s="1"/>
  <c r="J36" i="16"/>
  <c r="K36" i="16" s="1"/>
  <c r="J40" i="16"/>
  <c r="K40" i="16" s="1"/>
  <c r="J4" i="16"/>
  <c r="K4" i="16" s="1"/>
  <c r="J5" i="16"/>
  <c r="K5" i="16" s="1"/>
  <c r="J9" i="16"/>
  <c r="K9" i="16" s="1"/>
  <c r="J13" i="16"/>
  <c r="K13" i="16" s="1"/>
  <c r="J17" i="16"/>
  <c r="K17" i="16" s="1"/>
  <c r="J21" i="16"/>
  <c r="K21" i="16" s="1"/>
  <c r="J25" i="16"/>
  <c r="K25" i="16" s="1"/>
  <c r="J29" i="16"/>
  <c r="K29" i="16" s="1"/>
  <c r="J33" i="16"/>
  <c r="K33" i="16" s="1"/>
  <c r="J37" i="16"/>
  <c r="K37" i="16" s="1"/>
  <c r="J41" i="16"/>
  <c r="K41" i="16" s="1"/>
  <c r="J6" i="16"/>
  <c r="K6" i="16" s="1"/>
  <c r="J10" i="16"/>
  <c r="K10" i="16" s="1"/>
  <c r="J14" i="16"/>
  <c r="K14" i="16" s="1"/>
  <c r="J18" i="16"/>
  <c r="K18" i="16" s="1"/>
  <c r="J22" i="16"/>
  <c r="K22" i="16" s="1"/>
  <c r="J26" i="16"/>
  <c r="K26" i="16" s="1"/>
  <c r="J30" i="16"/>
  <c r="K30" i="16" s="1"/>
  <c r="J34" i="16"/>
  <c r="K34" i="16" s="1"/>
  <c r="J38" i="16"/>
  <c r="K38" i="16" s="1"/>
  <c r="J42" i="16"/>
  <c r="K42" i="16" s="1"/>
  <c r="J7" i="16"/>
  <c r="K7" i="16" s="1"/>
  <c r="J11" i="16"/>
  <c r="K11" i="16" s="1"/>
  <c r="J15" i="16"/>
  <c r="K15" i="16" s="1"/>
  <c r="J19" i="16"/>
  <c r="K19" i="16" s="1"/>
  <c r="J23" i="16"/>
  <c r="K23" i="16" s="1"/>
  <c r="J27" i="16"/>
  <c r="K27" i="16" s="1"/>
  <c r="J31" i="16"/>
  <c r="K31" i="16" s="1"/>
  <c r="J35" i="16"/>
  <c r="K35" i="16" s="1"/>
  <c r="J39" i="16"/>
  <c r="K39" i="16" s="1"/>
  <c r="J43" i="16"/>
  <c r="K43" i="16" s="1"/>
  <c r="G12" i="16"/>
  <c r="G18" i="16"/>
  <c r="G9" i="16"/>
  <c r="G8" i="16"/>
  <c r="G14" i="16"/>
  <c r="G5" i="16"/>
  <c r="G23" i="16"/>
  <c r="G10" i="16"/>
  <c r="G15" i="16"/>
  <c r="G25" i="16"/>
  <c r="G24" i="16"/>
  <c r="G11" i="16"/>
  <c r="G21" i="16"/>
  <c r="G20" i="16"/>
  <c r="G7" i="16"/>
  <c r="G17" i="16"/>
  <c r="AU8" i="13"/>
  <c r="AV8" i="13"/>
  <c r="AW8" i="13"/>
  <c r="AU9" i="13"/>
  <c r="AV9" i="13"/>
  <c r="AW9" i="13"/>
  <c r="AU10" i="13"/>
  <c r="AV10" i="13"/>
  <c r="AW10" i="13"/>
  <c r="AU11" i="13"/>
  <c r="AV11" i="13"/>
  <c r="AW11" i="13"/>
  <c r="AU12" i="13"/>
  <c r="AV12" i="13"/>
  <c r="AW12" i="13"/>
  <c r="AU13" i="13"/>
  <c r="AV13" i="13"/>
  <c r="AW13" i="13"/>
  <c r="AU14" i="13"/>
  <c r="AV14" i="13"/>
  <c r="AW14" i="13"/>
  <c r="AU15" i="13"/>
  <c r="AV15" i="13"/>
  <c r="AW15" i="13"/>
  <c r="AU16" i="13"/>
  <c r="AV16" i="13"/>
  <c r="AW16" i="13"/>
  <c r="AU17" i="13"/>
  <c r="AV17" i="13"/>
  <c r="AW17" i="13"/>
  <c r="AU18" i="13"/>
  <c r="AV18" i="13"/>
  <c r="AW18" i="13"/>
  <c r="AU19" i="13"/>
  <c r="AV19" i="13"/>
  <c r="AW19" i="13"/>
  <c r="AU20" i="13"/>
  <c r="AV20" i="13"/>
  <c r="AW20" i="13"/>
  <c r="AU21" i="13"/>
  <c r="AV21" i="13"/>
  <c r="AW21" i="13"/>
  <c r="AU22" i="13"/>
  <c r="AV22" i="13"/>
  <c r="AW22" i="13"/>
  <c r="AU23" i="13"/>
  <c r="AV23" i="13"/>
  <c r="AW23" i="13"/>
  <c r="AU24" i="13"/>
  <c r="AV24" i="13"/>
  <c r="AW24" i="13"/>
  <c r="AU25" i="13"/>
  <c r="AV25" i="13"/>
  <c r="AW25" i="13"/>
  <c r="AU26" i="13"/>
  <c r="AV26" i="13"/>
  <c r="AW26" i="13"/>
  <c r="AU27" i="13"/>
  <c r="AV27" i="13"/>
  <c r="AW27" i="13"/>
  <c r="AU28" i="13"/>
  <c r="AV28" i="13"/>
  <c r="AW28" i="13"/>
  <c r="AU29" i="13"/>
  <c r="AV29" i="13"/>
  <c r="AW29" i="13"/>
  <c r="AU30" i="13"/>
  <c r="AV30" i="13"/>
  <c r="AW30" i="13"/>
  <c r="AU31" i="13"/>
  <c r="AV31" i="13"/>
  <c r="AW31" i="13"/>
  <c r="AU32" i="13"/>
  <c r="AV32" i="13"/>
  <c r="AW32" i="13"/>
  <c r="AU33" i="13"/>
  <c r="AV33" i="13"/>
  <c r="AW33" i="13"/>
  <c r="AU34" i="13"/>
  <c r="AV34" i="13"/>
  <c r="AW34" i="13"/>
  <c r="AU35" i="13"/>
  <c r="AV35" i="13"/>
  <c r="AW35" i="13"/>
  <c r="AU36" i="13"/>
  <c r="AV36" i="13"/>
  <c r="AW36" i="13"/>
  <c r="AU37" i="13"/>
  <c r="AV37" i="13"/>
  <c r="AW37" i="13"/>
  <c r="AU38" i="13"/>
  <c r="AV38" i="13"/>
  <c r="AW38" i="13"/>
  <c r="AU7" i="13"/>
  <c r="AV7" i="13"/>
  <c r="AW7" i="13"/>
  <c r="AU5" i="13"/>
  <c r="CQ8" i="13"/>
  <c r="CR8" i="13"/>
  <c r="CS8" i="13"/>
  <c r="CQ9" i="13"/>
  <c r="CR9" i="13"/>
  <c r="CS9" i="13"/>
  <c r="CQ10" i="13"/>
  <c r="CR10" i="13"/>
  <c r="CS10" i="13"/>
  <c r="CQ11" i="13"/>
  <c r="CR11" i="13"/>
  <c r="CS11" i="13"/>
  <c r="CQ12" i="13"/>
  <c r="CR12" i="13"/>
  <c r="CS12" i="13"/>
  <c r="CQ13" i="13"/>
  <c r="CR13" i="13"/>
  <c r="CS13" i="13"/>
  <c r="CQ14" i="13"/>
  <c r="CR14" i="13"/>
  <c r="CS14" i="13"/>
  <c r="CQ15" i="13"/>
  <c r="CR15" i="13"/>
  <c r="CS15" i="13"/>
  <c r="CQ16" i="13"/>
  <c r="CR16" i="13"/>
  <c r="CS16" i="13"/>
  <c r="CQ17" i="13"/>
  <c r="CR17" i="13"/>
  <c r="CS17" i="13"/>
  <c r="CQ18" i="13"/>
  <c r="CR18" i="13"/>
  <c r="CS18" i="13"/>
  <c r="CQ19" i="13"/>
  <c r="CR19" i="13"/>
  <c r="CS19" i="13"/>
  <c r="CQ20" i="13"/>
  <c r="CR20" i="13"/>
  <c r="CS20" i="13"/>
  <c r="CQ21" i="13"/>
  <c r="CR21" i="13"/>
  <c r="CS21" i="13"/>
  <c r="CQ22" i="13"/>
  <c r="CR22" i="13"/>
  <c r="CS22" i="13"/>
  <c r="CQ23" i="13"/>
  <c r="CR23" i="13"/>
  <c r="CS23" i="13"/>
  <c r="CQ24" i="13"/>
  <c r="CR24" i="13"/>
  <c r="CS24" i="13"/>
  <c r="CQ25" i="13"/>
  <c r="CR25" i="13"/>
  <c r="CS25" i="13"/>
  <c r="CQ26" i="13"/>
  <c r="CR26" i="13"/>
  <c r="CS26" i="13"/>
  <c r="CQ27" i="13"/>
  <c r="CR27" i="13"/>
  <c r="CS27" i="13"/>
  <c r="CQ28" i="13"/>
  <c r="CR28" i="13"/>
  <c r="CS28" i="13"/>
  <c r="CQ29" i="13"/>
  <c r="CR29" i="13"/>
  <c r="CS29" i="13"/>
  <c r="CQ30" i="13"/>
  <c r="CR30" i="13"/>
  <c r="CS30" i="13"/>
  <c r="CQ31" i="13"/>
  <c r="CR31" i="13"/>
  <c r="CS31" i="13"/>
  <c r="CQ32" i="13"/>
  <c r="CR32" i="13"/>
  <c r="CS32" i="13"/>
  <c r="CQ33" i="13"/>
  <c r="CR33" i="13"/>
  <c r="CS33" i="13"/>
  <c r="CQ34" i="13"/>
  <c r="CR34" i="13"/>
  <c r="CS34" i="13"/>
  <c r="CQ35" i="13"/>
  <c r="CR35" i="13"/>
  <c r="CS35" i="13"/>
  <c r="CQ36" i="13"/>
  <c r="CR36" i="13"/>
  <c r="CS36" i="13"/>
  <c r="CQ37" i="13"/>
  <c r="CR37" i="13"/>
  <c r="CS37" i="13"/>
  <c r="CQ38" i="13"/>
  <c r="CR38" i="13"/>
  <c r="CS38" i="13"/>
  <c r="CQ39" i="13"/>
  <c r="CR39" i="13"/>
  <c r="CS39" i="13"/>
  <c r="CQ40" i="13"/>
  <c r="CR40" i="13"/>
  <c r="CS40" i="13"/>
  <c r="CQ41" i="13"/>
  <c r="CR41" i="13"/>
  <c r="CS41" i="13"/>
  <c r="CQ42" i="13"/>
  <c r="CR42" i="13"/>
  <c r="CS42" i="13"/>
  <c r="CQ43" i="13"/>
  <c r="CR43" i="13"/>
  <c r="CS43" i="13"/>
  <c r="CQ44" i="13"/>
  <c r="CR44" i="13"/>
  <c r="CS44" i="13"/>
  <c r="CQ45" i="13"/>
  <c r="CR45" i="13"/>
  <c r="CS45" i="13"/>
  <c r="CQ46" i="13"/>
  <c r="CR46" i="13"/>
  <c r="CS46" i="13"/>
  <c r="CQ7" i="13"/>
  <c r="CR7" i="13"/>
  <c r="CS7" i="13"/>
  <c r="CQ5" i="13"/>
  <c r="CN8" i="13"/>
  <c r="CO8" i="13"/>
  <c r="CP8" i="13"/>
  <c r="CN9" i="13"/>
  <c r="CO9" i="13"/>
  <c r="CP9" i="13"/>
  <c r="CN10" i="13"/>
  <c r="CO10" i="13"/>
  <c r="CP10" i="13"/>
  <c r="CN11" i="13"/>
  <c r="CO11" i="13"/>
  <c r="CP11" i="13"/>
  <c r="CN12" i="13"/>
  <c r="CO12" i="13"/>
  <c r="CP12" i="13"/>
  <c r="CN13" i="13"/>
  <c r="CO13" i="13"/>
  <c r="CP13" i="13"/>
  <c r="CN14" i="13"/>
  <c r="CO14" i="13"/>
  <c r="CP14" i="13"/>
  <c r="CN15" i="13"/>
  <c r="CO15" i="13"/>
  <c r="CP15" i="13"/>
  <c r="CN16" i="13"/>
  <c r="CO16" i="13"/>
  <c r="CP16" i="13"/>
  <c r="CN17" i="13"/>
  <c r="CO17" i="13"/>
  <c r="CP17" i="13"/>
  <c r="CN18" i="13"/>
  <c r="CO18" i="13"/>
  <c r="CP18" i="13"/>
  <c r="CN19" i="13"/>
  <c r="CO19" i="13"/>
  <c r="CP19" i="13"/>
  <c r="CN20" i="13"/>
  <c r="CO20" i="13"/>
  <c r="CP20" i="13"/>
  <c r="CN21" i="13"/>
  <c r="CO21" i="13"/>
  <c r="CP21" i="13"/>
  <c r="CN22" i="13"/>
  <c r="CO22" i="13"/>
  <c r="CP22" i="13"/>
  <c r="CN23" i="13"/>
  <c r="CO23" i="13"/>
  <c r="CP23" i="13"/>
  <c r="CN24" i="13"/>
  <c r="CO24" i="13"/>
  <c r="CP24" i="13"/>
  <c r="CN25" i="13"/>
  <c r="CO25" i="13"/>
  <c r="CP25" i="13"/>
  <c r="CN26" i="13"/>
  <c r="CO26" i="13"/>
  <c r="CP26" i="13"/>
  <c r="CN27" i="13"/>
  <c r="CO27" i="13"/>
  <c r="CP27" i="13"/>
  <c r="CN28" i="13"/>
  <c r="CO28" i="13"/>
  <c r="CP28" i="13"/>
  <c r="CN29" i="13"/>
  <c r="CO29" i="13"/>
  <c r="CP29" i="13"/>
  <c r="CN30" i="13"/>
  <c r="CO30" i="13"/>
  <c r="CP30" i="13"/>
  <c r="CN31" i="13"/>
  <c r="CO31" i="13"/>
  <c r="CP31" i="13"/>
  <c r="CN32" i="13"/>
  <c r="CO32" i="13"/>
  <c r="CP32" i="13"/>
  <c r="CN33" i="13"/>
  <c r="CO33" i="13"/>
  <c r="CP33" i="13"/>
  <c r="CN34" i="13"/>
  <c r="CO34" i="13"/>
  <c r="CP34" i="13"/>
  <c r="CN35" i="13"/>
  <c r="CO35" i="13"/>
  <c r="CP35" i="13"/>
  <c r="CN36" i="13"/>
  <c r="CO36" i="13"/>
  <c r="CP36" i="13"/>
  <c r="CN37" i="13"/>
  <c r="CO37" i="13"/>
  <c r="CP37" i="13"/>
  <c r="CN38" i="13"/>
  <c r="CO38" i="13"/>
  <c r="CP38" i="13"/>
  <c r="CN7" i="13"/>
  <c r="CO7" i="13"/>
  <c r="CP7" i="13"/>
  <c r="CN5" i="13"/>
  <c r="CK8" i="13"/>
  <c r="CL8" i="13"/>
  <c r="CM8" i="13"/>
  <c r="CK9" i="13"/>
  <c r="CL9" i="13"/>
  <c r="CM9" i="13"/>
  <c r="CK10" i="13"/>
  <c r="CL10" i="13"/>
  <c r="CM10" i="13"/>
  <c r="CK11" i="13"/>
  <c r="CL11" i="13"/>
  <c r="CM11" i="13"/>
  <c r="CK12" i="13"/>
  <c r="CL12" i="13"/>
  <c r="CM12" i="13"/>
  <c r="CK13" i="13"/>
  <c r="CL13" i="13"/>
  <c r="CM13" i="13"/>
  <c r="CK14" i="13"/>
  <c r="CL14" i="13"/>
  <c r="CM14" i="13"/>
  <c r="CK15" i="13"/>
  <c r="CL15" i="13"/>
  <c r="CM15" i="13"/>
  <c r="CK16" i="13"/>
  <c r="CL16" i="13"/>
  <c r="CM16" i="13"/>
  <c r="CK17" i="13"/>
  <c r="CL17" i="13"/>
  <c r="CM17" i="13"/>
  <c r="CK18" i="13"/>
  <c r="CL18" i="13"/>
  <c r="CM18" i="13"/>
  <c r="CK19" i="13"/>
  <c r="CL19" i="13"/>
  <c r="CM19" i="13"/>
  <c r="CK20" i="13"/>
  <c r="CL20" i="13"/>
  <c r="CM20" i="13"/>
  <c r="CK21" i="13"/>
  <c r="CL21" i="13"/>
  <c r="CM21" i="13"/>
  <c r="CK22" i="13"/>
  <c r="CL22" i="13"/>
  <c r="CM22" i="13"/>
  <c r="CK23" i="13"/>
  <c r="CL23" i="13"/>
  <c r="CM23" i="13"/>
  <c r="CK24" i="13"/>
  <c r="CL24" i="13"/>
  <c r="CM24" i="13"/>
  <c r="CK25" i="13"/>
  <c r="CL25" i="13"/>
  <c r="CM25" i="13"/>
  <c r="CK26" i="13"/>
  <c r="CL26" i="13"/>
  <c r="CM26" i="13"/>
  <c r="CK27" i="13"/>
  <c r="CL27" i="13"/>
  <c r="CM27" i="13"/>
  <c r="CK28" i="13"/>
  <c r="CL28" i="13"/>
  <c r="CM28" i="13"/>
  <c r="CK29" i="13"/>
  <c r="CL29" i="13"/>
  <c r="CM29" i="13"/>
  <c r="CK30" i="13"/>
  <c r="CL30" i="13"/>
  <c r="CM30" i="13"/>
  <c r="CK31" i="13"/>
  <c r="CL31" i="13"/>
  <c r="CM31" i="13"/>
  <c r="CK32" i="13"/>
  <c r="CL32" i="13"/>
  <c r="CM32" i="13"/>
  <c r="CK33" i="13"/>
  <c r="CL33" i="13"/>
  <c r="CM33" i="13"/>
  <c r="CK34" i="13"/>
  <c r="CL34" i="13"/>
  <c r="CM34" i="13"/>
  <c r="CK35" i="13"/>
  <c r="CL35" i="13"/>
  <c r="CM35" i="13"/>
  <c r="CK36" i="13"/>
  <c r="CL36" i="13"/>
  <c r="CM36" i="13"/>
  <c r="CK37" i="13"/>
  <c r="CL37" i="13"/>
  <c r="CM37" i="13"/>
  <c r="CK38" i="13"/>
  <c r="CL38" i="13"/>
  <c r="CM38" i="13"/>
  <c r="CK39" i="13"/>
  <c r="CL39" i="13"/>
  <c r="CM39" i="13"/>
  <c r="CK40" i="13"/>
  <c r="CL40" i="13"/>
  <c r="CM40" i="13"/>
  <c r="CK41" i="13"/>
  <c r="CL41" i="13"/>
  <c r="CM41" i="13"/>
  <c r="CK42" i="13"/>
  <c r="CL42" i="13"/>
  <c r="CM42" i="13"/>
  <c r="CK43" i="13"/>
  <c r="CL43" i="13"/>
  <c r="CM43" i="13"/>
  <c r="CK44" i="13"/>
  <c r="CL44" i="13"/>
  <c r="CM44" i="13"/>
  <c r="CK45" i="13"/>
  <c r="CL45" i="13"/>
  <c r="CM45" i="13"/>
  <c r="CK46" i="13"/>
  <c r="CL46" i="13"/>
  <c r="CM46" i="13"/>
  <c r="CK7" i="13"/>
  <c r="CL7" i="13"/>
  <c r="CM7" i="13"/>
  <c r="CK5" i="13"/>
  <c r="CH8" i="13"/>
  <c r="CI8" i="13"/>
  <c r="CJ8" i="13"/>
  <c r="CH9" i="13"/>
  <c r="CI9" i="13"/>
  <c r="CJ9" i="13"/>
  <c r="CH10" i="13"/>
  <c r="CI10" i="13"/>
  <c r="CJ10" i="13"/>
  <c r="CH11" i="13"/>
  <c r="CI11" i="13"/>
  <c r="CJ11" i="13"/>
  <c r="CH12" i="13"/>
  <c r="CI12" i="13"/>
  <c r="CJ12" i="13"/>
  <c r="CH13" i="13"/>
  <c r="CI13" i="13"/>
  <c r="CJ13" i="13"/>
  <c r="CH14" i="13"/>
  <c r="CI14" i="13"/>
  <c r="CJ14" i="13"/>
  <c r="CH15" i="13"/>
  <c r="CI15" i="13"/>
  <c r="CJ15" i="13"/>
  <c r="CH16" i="13"/>
  <c r="CI16" i="13"/>
  <c r="CJ16" i="13"/>
  <c r="CH17" i="13"/>
  <c r="CI17" i="13"/>
  <c r="CJ17" i="13"/>
  <c r="CH18" i="13"/>
  <c r="CI18" i="13"/>
  <c r="CJ18" i="13"/>
  <c r="CH19" i="13"/>
  <c r="CI19" i="13"/>
  <c r="CJ19" i="13"/>
  <c r="CH20" i="13"/>
  <c r="CI20" i="13"/>
  <c r="CJ20" i="13"/>
  <c r="CH21" i="13"/>
  <c r="CI21" i="13"/>
  <c r="CJ21" i="13"/>
  <c r="CH22" i="13"/>
  <c r="CI22" i="13"/>
  <c r="CJ22" i="13"/>
  <c r="CH23" i="13"/>
  <c r="CI23" i="13"/>
  <c r="CJ23" i="13"/>
  <c r="CH24" i="13"/>
  <c r="CI24" i="13"/>
  <c r="CJ24" i="13"/>
  <c r="CH25" i="13"/>
  <c r="CI25" i="13"/>
  <c r="CJ25" i="13"/>
  <c r="CH26" i="13"/>
  <c r="CI26" i="13"/>
  <c r="CJ26" i="13"/>
  <c r="CH27" i="13"/>
  <c r="CI27" i="13"/>
  <c r="CJ27" i="13"/>
  <c r="CH28" i="13"/>
  <c r="CI28" i="13"/>
  <c r="CJ28" i="13"/>
  <c r="CH29" i="13"/>
  <c r="CI29" i="13"/>
  <c r="CJ29" i="13"/>
  <c r="CH30" i="13"/>
  <c r="CI30" i="13"/>
  <c r="CJ30" i="13"/>
  <c r="CH31" i="13"/>
  <c r="CI31" i="13"/>
  <c r="CJ31" i="13"/>
  <c r="CH32" i="13"/>
  <c r="CI32" i="13"/>
  <c r="CJ32" i="13"/>
  <c r="CH33" i="13"/>
  <c r="CI33" i="13"/>
  <c r="CJ33" i="13"/>
  <c r="CH34" i="13"/>
  <c r="CI34" i="13"/>
  <c r="CJ34" i="13"/>
  <c r="CH35" i="13"/>
  <c r="CI35" i="13"/>
  <c r="CJ35" i="13"/>
  <c r="CH36" i="13"/>
  <c r="CI36" i="13"/>
  <c r="CJ36" i="13"/>
  <c r="CH37" i="13"/>
  <c r="CI37" i="13"/>
  <c r="CJ37" i="13"/>
  <c r="CH38" i="13"/>
  <c r="CI38" i="13"/>
  <c r="CJ38" i="13"/>
  <c r="CH7" i="13"/>
  <c r="CI7" i="13"/>
  <c r="CJ7" i="13"/>
  <c r="CH5" i="13"/>
  <c r="CE8" i="13"/>
  <c r="CF8" i="13"/>
  <c r="CG8" i="13"/>
  <c r="CE9" i="13"/>
  <c r="CF9" i="13"/>
  <c r="CG9" i="13"/>
  <c r="CE10" i="13"/>
  <c r="CF10" i="13"/>
  <c r="CG10" i="13"/>
  <c r="CE11" i="13"/>
  <c r="CF11" i="13"/>
  <c r="CG11" i="13"/>
  <c r="CE12" i="13"/>
  <c r="CF12" i="13"/>
  <c r="CG12" i="13"/>
  <c r="CE13" i="13"/>
  <c r="CF13" i="13"/>
  <c r="CG13" i="13"/>
  <c r="CE14" i="13"/>
  <c r="CF14" i="13"/>
  <c r="CG14" i="13"/>
  <c r="CE15" i="13"/>
  <c r="CF15" i="13"/>
  <c r="CG15" i="13"/>
  <c r="CE16" i="13"/>
  <c r="CF16" i="13"/>
  <c r="CG16" i="13"/>
  <c r="CE17" i="13"/>
  <c r="CF17" i="13"/>
  <c r="CG17" i="13"/>
  <c r="CE18" i="13"/>
  <c r="CF18" i="13"/>
  <c r="CG18" i="13"/>
  <c r="CE19" i="13"/>
  <c r="CF19" i="13"/>
  <c r="CG19" i="13"/>
  <c r="CE20" i="13"/>
  <c r="CF20" i="13"/>
  <c r="CG20" i="13"/>
  <c r="CE21" i="13"/>
  <c r="CF21" i="13"/>
  <c r="CG21" i="13"/>
  <c r="CE22" i="13"/>
  <c r="CF22" i="13"/>
  <c r="CG22" i="13"/>
  <c r="CE23" i="13"/>
  <c r="CF23" i="13"/>
  <c r="CG23" i="13"/>
  <c r="CE24" i="13"/>
  <c r="CF24" i="13"/>
  <c r="CG24" i="13"/>
  <c r="CE25" i="13"/>
  <c r="CF25" i="13"/>
  <c r="CG25" i="13"/>
  <c r="CE26" i="13"/>
  <c r="CF26" i="13"/>
  <c r="CG26" i="13"/>
  <c r="CE27" i="13"/>
  <c r="CF27" i="13"/>
  <c r="CG27" i="13"/>
  <c r="CE28" i="13"/>
  <c r="CF28" i="13"/>
  <c r="CG28" i="13"/>
  <c r="CE29" i="13"/>
  <c r="CF29" i="13"/>
  <c r="CG29" i="13"/>
  <c r="CE30" i="13"/>
  <c r="CF30" i="13"/>
  <c r="CG30" i="13"/>
  <c r="CE31" i="13"/>
  <c r="CF31" i="13"/>
  <c r="CG31" i="13"/>
  <c r="CE32" i="13"/>
  <c r="CF32" i="13"/>
  <c r="CG32" i="13"/>
  <c r="CE33" i="13"/>
  <c r="CF33" i="13"/>
  <c r="CG33" i="13"/>
  <c r="CE34" i="13"/>
  <c r="CF34" i="13"/>
  <c r="CG34" i="13"/>
  <c r="CE35" i="13"/>
  <c r="CF35" i="13"/>
  <c r="CG35" i="13"/>
  <c r="CE36" i="13"/>
  <c r="CF36" i="13"/>
  <c r="CG36" i="13"/>
  <c r="CE37" i="13"/>
  <c r="CF37" i="13"/>
  <c r="CG37" i="13"/>
  <c r="CE38" i="13"/>
  <c r="CF38" i="13"/>
  <c r="CG38" i="13"/>
  <c r="CE7" i="13"/>
  <c r="CF7" i="13"/>
  <c r="CG7" i="13"/>
  <c r="CE5" i="13"/>
  <c r="CB9" i="13"/>
  <c r="CC9" i="13"/>
  <c r="CD9" i="13"/>
  <c r="CB10" i="13"/>
  <c r="CC10" i="13"/>
  <c r="CD10" i="13"/>
  <c r="CB11" i="13"/>
  <c r="CC11" i="13"/>
  <c r="CD11" i="13"/>
  <c r="CB12" i="13"/>
  <c r="CC12" i="13"/>
  <c r="CD12" i="13"/>
  <c r="CB13" i="13"/>
  <c r="CC13" i="13"/>
  <c r="CD13" i="13"/>
  <c r="CB14" i="13"/>
  <c r="CC14" i="13"/>
  <c r="CD14" i="13"/>
  <c r="CB15" i="13"/>
  <c r="CC15" i="13"/>
  <c r="CD15" i="13"/>
  <c r="CB16" i="13"/>
  <c r="CC16" i="13"/>
  <c r="CD16" i="13"/>
  <c r="CB17" i="13"/>
  <c r="CC17" i="13"/>
  <c r="CD17" i="13"/>
  <c r="CB18" i="13"/>
  <c r="CC18" i="13"/>
  <c r="CD18" i="13"/>
  <c r="CB19" i="13"/>
  <c r="CC19" i="13"/>
  <c r="CD19" i="13"/>
  <c r="CB20" i="13"/>
  <c r="CC20" i="13"/>
  <c r="CD20" i="13"/>
  <c r="CB21" i="13"/>
  <c r="CC21" i="13"/>
  <c r="CD21" i="13"/>
  <c r="CB22" i="13"/>
  <c r="CC22" i="13"/>
  <c r="CD22" i="13"/>
  <c r="CB23" i="13"/>
  <c r="CC23" i="13"/>
  <c r="CD23" i="13"/>
  <c r="CB24" i="13"/>
  <c r="CC24" i="13"/>
  <c r="CD24" i="13"/>
  <c r="CB25" i="13"/>
  <c r="CC25" i="13"/>
  <c r="CD25" i="13"/>
  <c r="CB26" i="13"/>
  <c r="CC26" i="13"/>
  <c r="CD26" i="13"/>
  <c r="CB27" i="13"/>
  <c r="CC27" i="13"/>
  <c r="CD27" i="13"/>
  <c r="CB28" i="13"/>
  <c r="CC28" i="13"/>
  <c r="CD28" i="13"/>
  <c r="CB29" i="13"/>
  <c r="CC29" i="13"/>
  <c r="CD29" i="13"/>
  <c r="CB30" i="13"/>
  <c r="CC30" i="13"/>
  <c r="CD30" i="13"/>
  <c r="CB31" i="13"/>
  <c r="CC31" i="13"/>
  <c r="CD31" i="13"/>
  <c r="CB32" i="13"/>
  <c r="CC32" i="13"/>
  <c r="CD32" i="13"/>
  <c r="CB33" i="13"/>
  <c r="CC33" i="13"/>
  <c r="CD33" i="13"/>
  <c r="CB34" i="13"/>
  <c r="CC34" i="13"/>
  <c r="CD34" i="13"/>
  <c r="CB35" i="13"/>
  <c r="CC35" i="13"/>
  <c r="CD35" i="13"/>
  <c r="CB36" i="13"/>
  <c r="CC36" i="13"/>
  <c r="CD36" i="13"/>
  <c r="CB37" i="13"/>
  <c r="CC37" i="13"/>
  <c r="CD37" i="13"/>
  <c r="CB38" i="13"/>
  <c r="CC38" i="13"/>
  <c r="CD38" i="13"/>
  <c r="CB7" i="13"/>
  <c r="CC7" i="13"/>
  <c r="CD7" i="13"/>
  <c r="CB8" i="13"/>
  <c r="CC8" i="13"/>
  <c r="CD8" i="13"/>
  <c r="CB5" i="13"/>
  <c r="BY8" i="13"/>
  <c r="BZ8" i="13"/>
  <c r="CA8" i="13"/>
  <c r="BY9" i="13"/>
  <c r="BZ9" i="13"/>
  <c r="CA9" i="13"/>
  <c r="BY10" i="13"/>
  <c r="BZ10" i="13"/>
  <c r="CA10" i="13"/>
  <c r="BY11" i="13"/>
  <c r="BZ11" i="13"/>
  <c r="CA11" i="13"/>
  <c r="BY12" i="13"/>
  <c r="BZ12" i="13"/>
  <c r="CA12" i="13"/>
  <c r="BY13" i="13"/>
  <c r="BZ13" i="13"/>
  <c r="CA13" i="13"/>
  <c r="BY14" i="13"/>
  <c r="BZ14" i="13"/>
  <c r="CA14" i="13"/>
  <c r="BY15" i="13"/>
  <c r="BZ15" i="13"/>
  <c r="CA15" i="13"/>
  <c r="BY16" i="13"/>
  <c r="BZ16" i="13"/>
  <c r="CA16" i="13"/>
  <c r="BY17" i="13"/>
  <c r="BZ17" i="13"/>
  <c r="CA17" i="13"/>
  <c r="BY18" i="13"/>
  <c r="BZ18" i="13"/>
  <c r="CA18" i="13"/>
  <c r="BY19" i="13"/>
  <c r="BZ19" i="13"/>
  <c r="CA19" i="13"/>
  <c r="BY20" i="13"/>
  <c r="BZ20" i="13"/>
  <c r="CA20" i="13"/>
  <c r="BY21" i="13"/>
  <c r="BZ21" i="13"/>
  <c r="CA21" i="13"/>
  <c r="BY22" i="13"/>
  <c r="BZ22" i="13"/>
  <c r="CA22" i="13"/>
  <c r="BY23" i="13"/>
  <c r="BZ23" i="13"/>
  <c r="CA23" i="13"/>
  <c r="BY24" i="13"/>
  <c r="BZ24" i="13"/>
  <c r="CA24" i="13"/>
  <c r="BY25" i="13"/>
  <c r="BZ25" i="13"/>
  <c r="CA25" i="13"/>
  <c r="BY26" i="13"/>
  <c r="BZ26" i="13"/>
  <c r="CA26" i="13"/>
  <c r="BY27" i="13"/>
  <c r="BZ27" i="13"/>
  <c r="CA27" i="13"/>
  <c r="BY28" i="13"/>
  <c r="BZ28" i="13"/>
  <c r="CA28" i="13"/>
  <c r="BY29" i="13"/>
  <c r="BZ29" i="13"/>
  <c r="CA29" i="13"/>
  <c r="BY30" i="13"/>
  <c r="BZ30" i="13"/>
  <c r="CA30" i="13"/>
  <c r="BY31" i="13"/>
  <c r="BZ31" i="13"/>
  <c r="CA31" i="13"/>
  <c r="BY32" i="13"/>
  <c r="BZ32" i="13"/>
  <c r="CA32" i="13"/>
  <c r="BY33" i="13"/>
  <c r="BZ33" i="13"/>
  <c r="CA33" i="13"/>
  <c r="BY34" i="13"/>
  <c r="BZ34" i="13"/>
  <c r="CA34" i="13"/>
  <c r="BY35" i="13"/>
  <c r="BZ35" i="13"/>
  <c r="CA35" i="13"/>
  <c r="BY36" i="13"/>
  <c r="BZ36" i="13"/>
  <c r="CA36" i="13"/>
  <c r="BY37" i="13"/>
  <c r="BZ37" i="13"/>
  <c r="CA37" i="13"/>
  <c r="BY38" i="13"/>
  <c r="BZ38" i="13"/>
  <c r="CA38" i="13"/>
  <c r="BY7" i="13"/>
  <c r="BZ7" i="13"/>
  <c r="CA7" i="13"/>
  <c r="BY5" i="13"/>
  <c r="BX8" i="13"/>
  <c r="BX9" i="13"/>
  <c r="BX10" i="13"/>
  <c r="BX11" i="13"/>
  <c r="BX12" i="13"/>
  <c r="BX13" i="13"/>
  <c r="BX14" i="13"/>
  <c r="BX15" i="13"/>
  <c r="BX16" i="13"/>
  <c r="BX17" i="13"/>
  <c r="BX18" i="13"/>
  <c r="BX19" i="13"/>
  <c r="BX20" i="13"/>
  <c r="BX21" i="13"/>
  <c r="BX22" i="13"/>
  <c r="BX23" i="13"/>
  <c r="BX24" i="13"/>
  <c r="BX25" i="13"/>
  <c r="BX26" i="13"/>
  <c r="BX27" i="13"/>
  <c r="BX28" i="13"/>
  <c r="BX29" i="13"/>
  <c r="BX30" i="13"/>
  <c r="BX31" i="13"/>
  <c r="BX32" i="13"/>
  <c r="BX33" i="13"/>
  <c r="BX34" i="13"/>
  <c r="BX35" i="13"/>
  <c r="BX36" i="13"/>
  <c r="BX37" i="13"/>
  <c r="BX38" i="13"/>
  <c r="BX7" i="13"/>
  <c r="BW8" i="13"/>
  <c r="BW9" i="13"/>
  <c r="BW10" i="13"/>
  <c r="BW11" i="13"/>
  <c r="BW12" i="13"/>
  <c r="BW13" i="13"/>
  <c r="BW14" i="13"/>
  <c r="BW15" i="13"/>
  <c r="BW16" i="13"/>
  <c r="BW17" i="13"/>
  <c r="BW18" i="13"/>
  <c r="BW19" i="13"/>
  <c r="BW20" i="13"/>
  <c r="BW21" i="13"/>
  <c r="BW22" i="13"/>
  <c r="BW23" i="13"/>
  <c r="BW24" i="13"/>
  <c r="BW25" i="13"/>
  <c r="BW26" i="13"/>
  <c r="BW27" i="13"/>
  <c r="BW28" i="13"/>
  <c r="BW29" i="13"/>
  <c r="BW30" i="13"/>
  <c r="BW31" i="13"/>
  <c r="BW32" i="13"/>
  <c r="BW33" i="13"/>
  <c r="BW34" i="13"/>
  <c r="BW35" i="13"/>
  <c r="BW36" i="13"/>
  <c r="BW37" i="13"/>
  <c r="BW38" i="13"/>
  <c r="BW7" i="13"/>
  <c r="BV8" i="13"/>
  <c r="BV9" i="13"/>
  <c r="BV10" i="13"/>
  <c r="BV11" i="13"/>
  <c r="BV12" i="13"/>
  <c r="BV13" i="13"/>
  <c r="BV14" i="13"/>
  <c r="BV15" i="13"/>
  <c r="BV16" i="13"/>
  <c r="BV17" i="13"/>
  <c r="BV18" i="13"/>
  <c r="BV19" i="13"/>
  <c r="BV20" i="13"/>
  <c r="BV21" i="13"/>
  <c r="BV22" i="13"/>
  <c r="BV23" i="13"/>
  <c r="BV24" i="13"/>
  <c r="BV25" i="13"/>
  <c r="BV26" i="13"/>
  <c r="BV27" i="13"/>
  <c r="BV28" i="13"/>
  <c r="BV29" i="13"/>
  <c r="BV30" i="13"/>
  <c r="BV31" i="13"/>
  <c r="BV32" i="13"/>
  <c r="BV33" i="13"/>
  <c r="BV34" i="13"/>
  <c r="BV35" i="13"/>
  <c r="BV36" i="13"/>
  <c r="BV37" i="13"/>
  <c r="BV38" i="13"/>
  <c r="BV7" i="13"/>
  <c r="BM7" i="13" l="1"/>
  <c r="BN7" i="13"/>
  <c r="BO7" i="13"/>
  <c r="BP7" i="13"/>
  <c r="BQ7" i="13"/>
  <c r="BR7" i="13"/>
  <c r="BS7" i="13"/>
  <c r="BT7" i="13"/>
  <c r="BU7" i="13"/>
  <c r="BM8" i="13"/>
  <c r="BN8" i="13"/>
  <c r="BO8" i="13"/>
  <c r="BP8" i="13"/>
  <c r="BQ8" i="13"/>
  <c r="BR8" i="13"/>
  <c r="BS8" i="13"/>
  <c r="BT8" i="13"/>
  <c r="BU8" i="13"/>
  <c r="BM9" i="13"/>
  <c r="BN9" i="13"/>
  <c r="BO9" i="13"/>
  <c r="BP9" i="13"/>
  <c r="BQ9" i="13"/>
  <c r="BR9" i="13"/>
  <c r="BS9" i="13"/>
  <c r="BT9" i="13"/>
  <c r="BU9" i="13"/>
  <c r="BM10" i="13"/>
  <c r="BN10" i="13"/>
  <c r="BO10" i="13"/>
  <c r="BP10" i="13"/>
  <c r="BQ10" i="13"/>
  <c r="BR10" i="13"/>
  <c r="BS10" i="13"/>
  <c r="BT10" i="13"/>
  <c r="BU10" i="13"/>
  <c r="BM11" i="13"/>
  <c r="BN11" i="13"/>
  <c r="BO11" i="13"/>
  <c r="BP11" i="13"/>
  <c r="BQ11" i="13"/>
  <c r="BR11" i="13"/>
  <c r="BS11" i="13"/>
  <c r="BT11" i="13"/>
  <c r="BU11" i="13"/>
  <c r="BM12" i="13"/>
  <c r="BN12" i="13"/>
  <c r="BO12" i="13"/>
  <c r="BP12" i="13"/>
  <c r="BQ12" i="13"/>
  <c r="BR12" i="13"/>
  <c r="BS12" i="13"/>
  <c r="BT12" i="13"/>
  <c r="BU12" i="13"/>
  <c r="BV5" i="13"/>
  <c r="AL10" i="13"/>
  <c r="AM10" i="13"/>
  <c r="AN10" i="13"/>
  <c r="AO10" i="13"/>
  <c r="AP10" i="13"/>
  <c r="AQ10" i="13"/>
  <c r="AR10" i="13"/>
  <c r="AS10" i="13"/>
  <c r="AT10" i="13"/>
  <c r="AL11" i="13"/>
  <c r="AM11" i="13"/>
  <c r="AN11" i="13"/>
  <c r="AO11" i="13"/>
  <c r="AP11" i="13"/>
  <c r="AQ11" i="13"/>
  <c r="AR11" i="13"/>
  <c r="AS11" i="13"/>
  <c r="AT11" i="13"/>
  <c r="AL12" i="13"/>
  <c r="AM12" i="13"/>
  <c r="AN12" i="13"/>
  <c r="AO12" i="13"/>
  <c r="AP12" i="13"/>
  <c r="AQ12" i="13"/>
  <c r="AR12" i="13"/>
  <c r="AS12" i="13"/>
  <c r="AT12" i="13"/>
  <c r="AL13" i="13"/>
  <c r="AM13" i="13"/>
  <c r="AN13" i="13"/>
  <c r="AO13" i="13"/>
  <c r="AP13" i="13"/>
  <c r="AQ13" i="13"/>
  <c r="AR13" i="13"/>
  <c r="AS13" i="13"/>
  <c r="AT13" i="13"/>
  <c r="AL14" i="13"/>
  <c r="AM14" i="13"/>
  <c r="AN14" i="13"/>
  <c r="AO14" i="13"/>
  <c r="AP14" i="13"/>
  <c r="AQ14" i="13"/>
  <c r="AR14" i="13"/>
  <c r="AS14" i="13"/>
  <c r="AT14" i="13"/>
  <c r="AL15" i="13"/>
  <c r="AM15" i="13"/>
  <c r="AN15" i="13"/>
  <c r="AO15" i="13"/>
  <c r="AP15" i="13"/>
  <c r="AQ15" i="13"/>
  <c r="AR15" i="13"/>
  <c r="AS15" i="13"/>
  <c r="AT15" i="13"/>
  <c r="AL16" i="13"/>
  <c r="AM16" i="13"/>
  <c r="AN16" i="13"/>
  <c r="AO16" i="13"/>
  <c r="AP16" i="13"/>
  <c r="AQ16" i="13"/>
  <c r="AR16" i="13"/>
  <c r="AS16" i="13"/>
  <c r="AT16" i="13"/>
  <c r="AL17" i="13"/>
  <c r="AM17" i="13"/>
  <c r="AN17" i="13"/>
  <c r="AO17" i="13"/>
  <c r="AP17" i="13"/>
  <c r="AQ17" i="13"/>
  <c r="AR17" i="13"/>
  <c r="AS17" i="13"/>
  <c r="AT17" i="13"/>
  <c r="AL18" i="13"/>
  <c r="AM18" i="13"/>
  <c r="AN18" i="13"/>
  <c r="AO18" i="13"/>
  <c r="AP18" i="13"/>
  <c r="AQ18" i="13"/>
  <c r="AR18" i="13"/>
  <c r="AS18" i="13"/>
  <c r="AT18" i="13"/>
  <c r="AL19" i="13"/>
  <c r="AM19" i="13"/>
  <c r="AN19" i="13"/>
  <c r="AO19" i="13"/>
  <c r="AP19" i="13"/>
  <c r="AQ19" i="13"/>
  <c r="AR19" i="13"/>
  <c r="AS19" i="13"/>
  <c r="AT19" i="13"/>
  <c r="AL20" i="13"/>
  <c r="AM20" i="13"/>
  <c r="AN20" i="13"/>
  <c r="AO20" i="13"/>
  <c r="AP20" i="13"/>
  <c r="AQ20" i="13"/>
  <c r="AR20" i="13"/>
  <c r="AS20" i="13"/>
  <c r="AT20" i="13"/>
  <c r="AL21" i="13"/>
  <c r="AM21" i="13"/>
  <c r="AN21" i="13"/>
  <c r="AO21" i="13"/>
  <c r="AP21" i="13"/>
  <c r="AQ21" i="13"/>
  <c r="AR21" i="13"/>
  <c r="AS21" i="13"/>
  <c r="AT21" i="13"/>
  <c r="AL22" i="13"/>
  <c r="AM22" i="13"/>
  <c r="AN22" i="13"/>
  <c r="AO22" i="13"/>
  <c r="AP22" i="13"/>
  <c r="AQ22" i="13"/>
  <c r="AR22" i="13"/>
  <c r="AS22" i="13"/>
  <c r="AT22" i="13"/>
  <c r="AL23" i="13"/>
  <c r="AM23" i="13"/>
  <c r="AN23" i="13"/>
  <c r="AO23" i="13"/>
  <c r="AP23" i="13"/>
  <c r="AQ23" i="13"/>
  <c r="AR23" i="13"/>
  <c r="AS23" i="13"/>
  <c r="AT23" i="13"/>
  <c r="AL24" i="13"/>
  <c r="AM24" i="13"/>
  <c r="AN24" i="13"/>
  <c r="AO24" i="13"/>
  <c r="AP24" i="13"/>
  <c r="AQ24" i="13"/>
  <c r="AR24" i="13"/>
  <c r="AS24" i="13"/>
  <c r="AT24" i="13"/>
  <c r="AL25" i="13"/>
  <c r="AM25" i="13"/>
  <c r="AN25" i="13"/>
  <c r="AO25" i="13"/>
  <c r="AP25" i="13"/>
  <c r="AQ25" i="13"/>
  <c r="AR25" i="13"/>
  <c r="AS25" i="13"/>
  <c r="AT25" i="13"/>
  <c r="AL26" i="13"/>
  <c r="AM26" i="13"/>
  <c r="AN26" i="13"/>
  <c r="AO26" i="13"/>
  <c r="AP26" i="13"/>
  <c r="AQ26" i="13"/>
  <c r="AR26" i="13"/>
  <c r="AS26" i="13"/>
  <c r="AT26" i="13"/>
  <c r="AL27" i="13"/>
  <c r="AM27" i="13"/>
  <c r="AN27" i="13"/>
  <c r="AO27" i="13"/>
  <c r="AP27" i="13"/>
  <c r="AQ27" i="13"/>
  <c r="AR27" i="13"/>
  <c r="AS27" i="13"/>
  <c r="AT27" i="13"/>
  <c r="AL28" i="13"/>
  <c r="AM28" i="13"/>
  <c r="AN28" i="13"/>
  <c r="AO28" i="13"/>
  <c r="AP28" i="13"/>
  <c r="AQ28" i="13"/>
  <c r="AR28" i="13"/>
  <c r="AS28" i="13"/>
  <c r="AT28" i="13"/>
  <c r="AL29" i="13"/>
  <c r="AM29" i="13"/>
  <c r="AN29" i="13"/>
  <c r="AO29" i="13"/>
  <c r="AP29" i="13"/>
  <c r="AQ29" i="13"/>
  <c r="AR29" i="13"/>
  <c r="AS29" i="13"/>
  <c r="AT29" i="13"/>
  <c r="AL30" i="13"/>
  <c r="AM30" i="13"/>
  <c r="AN30" i="13"/>
  <c r="AO30" i="13"/>
  <c r="AP30" i="13"/>
  <c r="AQ30" i="13"/>
  <c r="AR30" i="13"/>
  <c r="AS30" i="13"/>
  <c r="AT30" i="13"/>
  <c r="AL31" i="13"/>
  <c r="AM31" i="13"/>
  <c r="AN31" i="13"/>
  <c r="AO31" i="13"/>
  <c r="AP31" i="13"/>
  <c r="AQ31" i="13"/>
  <c r="AR31" i="13"/>
  <c r="AS31" i="13"/>
  <c r="AT31" i="13"/>
  <c r="AL32" i="13"/>
  <c r="AM32" i="13"/>
  <c r="AN32" i="13"/>
  <c r="AO32" i="13"/>
  <c r="AP32" i="13"/>
  <c r="AQ32" i="13"/>
  <c r="AR32" i="13"/>
  <c r="AS32" i="13"/>
  <c r="AT32" i="13"/>
  <c r="AL33" i="13"/>
  <c r="AM33" i="13"/>
  <c r="AN33" i="13"/>
  <c r="AO33" i="13"/>
  <c r="AP33" i="13"/>
  <c r="AQ33" i="13"/>
  <c r="AR33" i="13"/>
  <c r="AS33" i="13"/>
  <c r="AT33" i="13"/>
  <c r="AL34" i="13"/>
  <c r="AM34" i="13"/>
  <c r="AN34" i="13"/>
  <c r="AO34" i="13"/>
  <c r="AP34" i="13"/>
  <c r="AQ34" i="13"/>
  <c r="AR34" i="13"/>
  <c r="AS34" i="13"/>
  <c r="AT34" i="13"/>
  <c r="AL35" i="13"/>
  <c r="AM35" i="13"/>
  <c r="AN35" i="13"/>
  <c r="AO35" i="13"/>
  <c r="AP35" i="13"/>
  <c r="AQ35" i="13"/>
  <c r="AR35" i="13"/>
  <c r="AS35" i="13"/>
  <c r="AT35" i="13"/>
  <c r="AL36" i="13"/>
  <c r="AM36" i="13"/>
  <c r="AN36" i="13"/>
  <c r="AO36" i="13"/>
  <c r="AP36" i="13"/>
  <c r="AQ36" i="13"/>
  <c r="AR36" i="13"/>
  <c r="AS36" i="13"/>
  <c r="AT36" i="13"/>
  <c r="AL37" i="13"/>
  <c r="AM37" i="13"/>
  <c r="AN37" i="13"/>
  <c r="AO37" i="13"/>
  <c r="AP37" i="13"/>
  <c r="AQ37" i="13"/>
  <c r="AR37" i="13"/>
  <c r="AS37" i="13"/>
  <c r="AT37" i="13"/>
  <c r="AL38" i="13"/>
  <c r="AM38" i="13"/>
  <c r="AN38" i="13"/>
  <c r="AO38" i="13"/>
  <c r="AP38" i="13"/>
  <c r="AQ38" i="13"/>
  <c r="AR38" i="13"/>
  <c r="AS38" i="13"/>
  <c r="AT38" i="13"/>
  <c r="AL8" i="13"/>
  <c r="AM8" i="13"/>
  <c r="AN8" i="13"/>
  <c r="AO8" i="13"/>
  <c r="AP8" i="13"/>
  <c r="AQ8" i="13"/>
  <c r="AR8" i="13"/>
  <c r="AS8" i="13"/>
  <c r="AT8" i="13"/>
  <c r="AL9" i="13"/>
  <c r="AM9" i="13"/>
  <c r="AN9" i="13"/>
  <c r="AO9" i="13"/>
  <c r="AP9" i="13"/>
  <c r="AQ9" i="13"/>
  <c r="AR9" i="13"/>
  <c r="AS9" i="13"/>
  <c r="AT9" i="13"/>
  <c r="AR7" i="13"/>
  <c r="AS7" i="13"/>
  <c r="AT7" i="13"/>
  <c r="AM7" i="13"/>
  <c r="AN7" i="13"/>
  <c r="AO7" i="13"/>
  <c r="AP7" i="13"/>
  <c r="AQ7" i="13"/>
  <c r="AL7" i="13"/>
  <c r="AR5" i="13"/>
  <c r="AO5" i="13"/>
  <c r="AL5" i="13"/>
  <c r="C79" i="8" l="1"/>
  <c r="C77" i="8"/>
  <c r="C78" i="8" s="1"/>
  <c r="C75" i="8"/>
  <c r="C73" i="8"/>
  <c r="C74" i="8" s="1"/>
  <c r="C66" i="8"/>
  <c r="F66" i="11"/>
  <c r="F65" i="11"/>
  <c r="F64" i="11"/>
  <c r="F63" i="11"/>
  <c r="F62" i="11"/>
  <c r="F61" i="11"/>
  <c r="F60" i="11"/>
  <c r="F59" i="11"/>
  <c r="F58" i="11"/>
  <c r="F57" i="11"/>
  <c r="F56" i="11"/>
  <c r="F55" i="11"/>
  <c r="C55" i="11"/>
  <c r="C64" i="11"/>
  <c r="C61" i="11"/>
  <c r="C58" i="11"/>
  <c r="D94" i="8"/>
  <c r="D93" i="8"/>
  <c r="D92" i="8"/>
  <c r="C53" i="8"/>
  <c r="I75" i="8" l="1"/>
  <c r="G75" i="8"/>
  <c r="E75" i="8"/>
  <c r="I79" i="8"/>
  <c r="G79" i="8"/>
  <c r="E79" i="8"/>
  <c r="C54" i="8"/>
  <c r="I53" i="8"/>
  <c r="G53" i="8"/>
  <c r="H53" i="8" s="1"/>
  <c r="C67" i="8"/>
  <c r="I66" i="8"/>
  <c r="G66" i="8"/>
  <c r="H66" i="8" s="1"/>
  <c r="E66" i="8"/>
  <c r="F66" i="8" s="1"/>
  <c r="C76" i="8"/>
  <c r="C80" i="8"/>
  <c r="I73" i="8"/>
  <c r="G73" i="8"/>
  <c r="E73" i="8"/>
  <c r="E77" i="8"/>
  <c r="F77" i="8" s="1"/>
  <c r="I77" i="8"/>
  <c r="G77" i="8"/>
  <c r="H77" i="8" s="1"/>
  <c r="E53" i="8"/>
  <c r="F53" i="8" s="1"/>
  <c r="C89" i="8" l="1"/>
  <c r="E89" i="8" l="1"/>
  <c r="F89" i="8"/>
  <c r="D6" i="5"/>
  <c r="D5" i="5"/>
  <c r="D4" i="5"/>
  <c r="L49" i="8" l="1"/>
  <c r="C51" i="8" l="1"/>
  <c r="C49" i="8"/>
  <c r="C82" i="8"/>
  <c r="C83" i="8" l="1"/>
  <c r="I82" i="8"/>
  <c r="G82" i="8"/>
  <c r="H82" i="8" s="1"/>
  <c r="E82" i="8"/>
  <c r="F82" i="8" s="1"/>
  <c r="I49" i="8"/>
  <c r="G49" i="8"/>
  <c r="C52" i="8"/>
  <c r="G51" i="8"/>
  <c r="H51" i="8" s="1"/>
  <c r="I51" i="8"/>
  <c r="E51" i="8"/>
  <c r="F51" i="8" s="1"/>
  <c r="E49" i="8"/>
  <c r="F49" i="8" s="1"/>
  <c r="C50" i="8"/>
  <c r="CH4" i="12"/>
  <c r="CE4" i="12"/>
  <c r="CB4" i="12"/>
  <c r="BY4" i="12"/>
  <c r="BM4" i="12"/>
  <c r="AU4" i="12"/>
  <c r="AR4" i="12"/>
  <c r="AO4" i="12"/>
  <c r="CE3" i="10"/>
  <c r="CH3" i="10"/>
  <c r="CB3" i="10"/>
  <c r="BY3" i="10"/>
  <c r="BM3" i="10"/>
  <c r="AU3" i="10"/>
  <c r="AR3" i="10"/>
  <c r="AO3" i="10"/>
  <c r="A89" i="5"/>
  <c r="A81" i="5"/>
  <c r="A82" i="5"/>
  <c r="A83" i="5"/>
  <c r="A84" i="5"/>
  <c r="A85" i="5"/>
  <c r="A86" i="5"/>
  <c r="A87" i="5"/>
  <c r="A88" i="5"/>
  <c r="A61" i="5"/>
  <c r="A62" i="5"/>
  <c r="A63" i="5"/>
  <c r="A64" i="5"/>
  <c r="A65" i="5"/>
  <c r="A66" i="5"/>
  <c r="A67" i="5"/>
  <c r="A68" i="5"/>
  <c r="A69" i="5"/>
  <c r="A70" i="5"/>
  <c r="A71" i="5"/>
  <c r="A72" i="5"/>
  <c r="A73" i="5"/>
  <c r="A74" i="5"/>
  <c r="A75" i="5"/>
  <c r="A76" i="5"/>
  <c r="A77" i="5"/>
  <c r="A78" i="5"/>
  <c r="A79" i="5"/>
  <c r="A80" i="5"/>
  <c r="A51" i="5"/>
  <c r="A52" i="5"/>
  <c r="A53" i="5"/>
  <c r="A54" i="5"/>
  <c r="A55" i="5"/>
  <c r="A56" i="5"/>
  <c r="A57" i="5"/>
  <c r="A58" i="5"/>
  <c r="A59" i="5"/>
  <c r="A60" i="5"/>
  <c r="A50" i="5"/>
  <c r="D32" i="5"/>
  <c r="D31" i="5"/>
  <c r="D29" i="5"/>
  <c r="D28" i="5"/>
  <c r="D27" i="5"/>
  <c r="D26" i="5"/>
  <c r="D24" i="5"/>
  <c r="D22" i="5"/>
  <c r="D21" i="5"/>
  <c r="D20" i="5"/>
  <c r="D18" i="5"/>
  <c r="D17" i="5"/>
  <c r="D15" i="5"/>
  <c r="D14" i="5"/>
  <c r="D12" i="5"/>
  <c r="D11" i="5"/>
  <c r="D10" i="5"/>
  <c r="D9" i="5"/>
  <c r="D8" i="5"/>
  <c r="D7" i="5"/>
  <c r="O40" i="8"/>
  <c r="F79" i="11"/>
  <c r="F78" i="11"/>
  <c r="F77" i="11"/>
  <c r="F76" i="11"/>
  <c r="F75" i="11"/>
  <c r="F74" i="11"/>
  <c r="F73" i="11"/>
  <c r="F72" i="11"/>
  <c r="F71" i="11"/>
  <c r="F70" i="11"/>
  <c r="F69" i="11"/>
  <c r="F68" i="11"/>
  <c r="F54" i="11"/>
  <c r="F53" i="11"/>
  <c r="F52" i="11"/>
  <c r="F51" i="11"/>
  <c r="F50" i="11"/>
  <c r="F49" i="11"/>
  <c r="F46" i="11"/>
  <c r="F45" i="11"/>
  <c r="F44" i="11"/>
  <c r="F43" i="11"/>
  <c r="F42" i="11"/>
  <c r="F41" i="11"/>
  <c r="F40" i="11"/>
  <c r="F39" i="11"/>
  <c r="F38" i="11"/>
  <c r="F36" i="11"/>
  <c r="F35" i="11"/>
  <c r="F34" i="11"/>
  <c r="F33" i="11"/>
  <c r="F32" i="11"/>
  <c r="F31" i="11"/>
  <c r="F30" i="11"/>
  <c r="F29" i="11"/>
  <c r="F28" i="11"/>
  <c r="F27" i="11"/>
  <c r="F26" i="11"/>
  <c r="F25" i="11"/>
  <c r="F24" i="11"/>
  <c r="F23" i="11"/>
  <c r="F22" i="11"/>
  <c r="F21" i="11"/>
  <c r="F20" i="11"/>
  <c r="F19" i="11"/>
  <c r="C7" i="7"/>
  <c r="C71" i="8"/>
  <c r="C69" i="8"/>
  <c r="C64" i="8"/>
  <c r="C62" i="8"/>
  <c r="C60" i="8"/>
  <c r="C58" i="8"/>
  <c r="C56" i="8"/>
  <c r="C47" i="8"/>
  <c r="G47" i="8" s="1"/>
  <c r="H47" i="8" s="1"/>
  <c r="C45" i="8"/>
  <c r="C46" i="8" s="1"/>
  <c r="C43" i="8"/>
  <c r="G43" i="8" s="1"/>
  <c r="H43" i="8" s="1"/>
  <c r="CW7" i="10"/>
  <c r="CW8" i="10"/>
  <c r="CW9" i="10"/>
  <c r="CW10" i="10"/>
  <c r="CW11" i="10"/>
  <c r="CW12" i="10"/>
  <c r="CW13" i="10"/>
  <c r="CW14" i="10"/>
  <c r="CW15" i="10"/>
  <c r="CW16" i="10"/>
  <c r="CW17" i="10"/>
  <c r="CW18" i="10"/>
  <c r="CW19" i="10"/>
  <c r="CW20" i="10"/>
  <c r="CW21" i="10"/>
  <c r="CW22" i="10"/>
  <c r="CW23" i="10"/>
  <c r="CW24" i="10"/>
  <c r="CW25" i="10"/>
  <c r="CW26" i="10"/>
  <c r="CW27" i="10"/>
  <c r="CW6" i="10"/>
  <c r="H60" i="9"/>
  <c r="H61" i="9"/>
  <c r="H62" i="9"/>
  <c r="H59" i="9"/>
  <c r="H58" i="9"/>
  <c r="H57" i="9"/>
  <c r="H56" i="9"/>
  <c r="H55" i="9"/>
  <c r="H54" i="9"/>
  <c r="H53" i="9"/>
  <c r="H52" i="9"/>
  <c r="H51" i="9"/>
  <c r="H50" i="9"/>
  <c r="H49" i="9"/>
  <c r="H48" i="9"/>
  <c r="H47" i="9"/>
  <c r="H46" i="9"/>
  <c r="H45" i="9"/>
  <c r="H44" i="9"/>
  <c r="H43" i="9"/>
  <c r="H42" i="9"/>
  <c r="A7" i="4"/>
  <c r="DC46" i="13"/>
  <c r="DB46" i="13"/>
  <c r="DA46" i="13"/>
  <c r="CZ46" i="13"/>
  <c r="CY46" i="13"/>
  <c r="CX46" i="13"/>
  <c r="CW46" i="13"/>
  <c r="CV46" i="13"/>
  <c r="CU46" i="13"/>
  <c r="CT46" i="13"/>
  <c r="BU46" i="13"/>
  <c r="BT46" i="13"/>
  <c r="BS46" i="13"/>
  <c r="BR46" i="13"/>
  <c r="BQ46" i="13"/>
  <c r="BP46" i="13"/>
  <c r="BO46" i="13"/>
  <c r="BN46" i="13"/>
  <c r="BM46" i="13"/>
  <c r="BL46" i="13"/>
  <c r="BK46" i="13"/>
  <c r="BJ46" i="13"/>
  <c r="BI46" i="13"/>
  <c r="BH46" i="13"/>
  <c r="BG46" i="13"/>
  <c r="BF46" i="13"/>
  <c r="BE46" i="13"/>
  <c r="BD46" i="13"/>
  <c r="BC46" i="13"/>
  <c r="BB46" i="13"/>
  <c r="BA46" i="13"/>
  <c r="AZ46" i="13"/>
  <c r="AY46" i="13"/>
  <c r="AX46" i="13"/>
  <c r="AT46" i="13"/>
  <c r="AS46" i="13"/>
  <c r="AR46" i="13"/>
  <c r="AK46" i="13"/>
  <c r="AJ46" i="13"/>
  <c r="AI46" i="13"/>
  <c r="AH46" i="13"/>
  <c r="AG46" i="13"/>
  <c r="AF46" i="13"/>
  <c r="AE46" i="13"/>
  <c r="AD46" i="13"/>
  <c r="AC46" i="13"/>
  <c r="AB46" i="13"/>
  <c r="AA46" i="13"/>
  <c r="Z46" i="13"/>
  <c r="Y46" i="13"/>
  <c r="X46" i="13"/>
  <c r="W46" i="13"/>
  <c r="V46" i="13"/>
  <c r="U46" i="13"/>
  <c r="T46" i="13"/>
  <c r="S46" i="13"/>
  <c r="R46" i="13"/>
  <c r="Q46" i="13"/>
  <c r="P46" i="13"/>
  <c r="O46" i="13"/>
  <c r="N46" i="13"/>
  <c r="M46" i="13"/>
  <c r="L46" i="13"/>
  <c r="K46" i="13"/>
  <c r="J46" i="13"/>
  <c r="I46" i="13"/>
  <c r="H46" i="13"/>
  <c r="G46" i="13"/>
  <c r="F46" i="13"/>
  <c r="E46" i="13"/>
  <c r="DC45" i="13"/>
  <c r="DB45" i="13"/>
  <c r="DA45" i="13"/>
  <c r="CZ45" i="13"/>
  <c r="CY45" i="13"/>
  <c r="CX45" i="13"/>
  <c r="CW45" i="13"/>
  <c r="CV45" i="13"/>
  <c r="CU45" i="13"/>
  <c r="CT45" i="13"/>
  <c r="BU45" i="13"/>
  <c r="BT45" i="13"/>
  <c r="BS45" i="13"/>
  <c r="BR45" i="13"/>
  <c r="BQ45" i="13"/>
  <c r="BP45" i="13"/>
  <c r="BO45" i="13"/>
  <c r="BN45" i="13"/>
  <c r="BM45" i="13"/>
  <c r="BL45" i="13"/>
  <c r="BK45" i="13"/>
  <c r="BJ45" i="13"/>
  <c r="BI45" i="13"/>
  <c r="BH45" i="13"/>
  <c r="BG45" i="13"/>
  <c r="BF45" i="13"/>
  <c r="BE45" i="13"/>
  <c r="BD45" i="13"/>
  <c r="BC45" i="13"/>
  <c r="BB45" i="13"/>
  <c r="BA45" i="13"/>
  <c r="AZ45" i="13"/>
  <c r="AY45" i="13"/>
  <c r="AX45" i="13"/>
  <c r="AT45" i="13"/>
  <c r="AS45" i="13"/>
  <c r="AR45" i="13"/>
  <c r="AK45" i="13"/>
  <c r="AJ45" i="13"/>
  <c r="AI45" i="13"/>
  <c r="AH45" i="13"/>
  <c r="AG45" i="13"/>
  <c r="AF45" i="13"/>
  <c r="AE45" i="13"/>
  <c r="AD45" i="13"/>
  <c r="AC45" i="13"/>
  <c r="AB45" i="13"/>
  <c r="AA45" i="13"/>
  <c r="Z45" i="13"/>
  <c r="Y45" i="13"/>
  <c r="X45" i="13"/>
  <c r="W45" i="13"/>
  <c r="V45" i="13"/>
  <c r="U45" i="13"/>
  <c r="T45" i="13"/>
  <c r="S45" i="13"/>
  <c r="R45" i="13"/>
  <c r="Q45" i="13"/>
  <c r="P45" i="13"/>
  <c r="O45" i="13"/>
  <c r="N45" i="13"/>
  <c r="M45" i="13"/>
  <c r="L45" i="13"/>
  <c r="K45" i="13"/>
  <c r="J45" i="13"/>
  <c r="I45" i="13"/>
  <c r="H45" i="13"/>
  <c r="G45" i="13"/>
  <c r="F45" i="13"/>
  <c r="E45" i="13"/>
  <c r="DC44" i="13"/>
  <c r="DB44" i="13"/>
  <c r="DA44" i="13"/>
  <c r="CZ44" i="13"/>
  <c r="CY44" i="13"/>
  <c r="CX44" i="13"/>
  <c r="CW44" i="13"/>
  <c r="CV44" i="13"/>
  <c r="CU44" i="13"/>
  <c r="CT44" i="13"/>
  <c r="BU44" i="13"/>
  <c r="BT44" i="13"/>
  <c r="BS44" i="13"/>
  <c r="BR44" i="13"/>
  <c r="BQ44" i="13"/>
  <c r="BP44" i="13"/>
  <c r="BO44" i="13"/>
  <c r="BN44" i="13"/>
  <c r="BM44" i="13"/>
  <c r="BL44" i="13"/>
  <c r="BK44" i="13"/>
  <c r="BJ44" i="13"/>
  <c r="BI44" i="13"/>
  <c r="BH44" i="13"/>
  <c r="BG44" i="13"/>
  <c r="BF44" i="13"/>
  <c r="BE44" i="13"/>
  <c r="BD44" i="13"/>
  <c r="BC44" i="13"/>
  <c r="BB44" i="13"/>
  <c r="BA44" i="13"/>
  <c r="AZ44" i="13"/>
  <c r="AY44" i="13"/>
  <c r="AX44" i="13"/>
  <c r="AT44" i="13"/>
  <c r="AS44" i="13"/>
  <c r="AR44" i="13"/>
  <c r="AK44" i="13"/>
  <c r="AJ44" i="13"/>
  <c r="AI44" i="13"/>
  <c r="AH44" i="13"/>
  <c r="AG44" i="13"/>
  <c r="AF44" i="13"/>
  <c r="AE44" i="13"/>
  <c r="AD44" i="13"/>
  <c r="AC44" i="13"/>
  <c r="AB44" i="13"/>
  <c r="AA44" i="13"/>
  <c r="Z44" i="13"/>
  <c r="Y44" i="13"/>
  <c r="X44" i="13"/>
  <c r="W44" i="13"/>
  <c r="V44" i="13"/>
  <c r="U44" i="13"/>
  <c r="T44" i="13"/>
  <c r="S44" i="13"/>
  <c r="R44" i="13"/>
  <c r="Q44" i="13"/>
  <c r="P44" i="13"/>
  <c r="O44" i="13"/>
  <c r="N44" i="13"/>
  <c r="M44" i="13"/>
  <c r="L44" i="13"/>
  <c r="K44" i="13"/>
  <c r="J44" i="13"/>
  <c r="I44" i="13"/>
  <c r="H44" i="13"/>
  <c r="G44" i="13"/>
  <c r="F44" i="13"/>
  <c r="E44" i="13"/>
  <c r="DC43" i="13"/>
  <c r="DB43" i="13"/>
  <c r="DA43" i="13"/>
  <c r="CZ43" i="13"/>
  <c r="CY43" i="13"/>
  <c r="CX43" i="13"/>
  <c r="CW43" i="13"/>
  <c r="CV43" i="13"/>
  <c r="CU43" i="13"/>
  <c r="CT43" i="13"/>
  <c r="BU43" i="13"/>
  <c r="BT43" i="13"/>
  <c r="BS43" i="13"/>
  <c r="BR43" i="13"/>
  <c r="BQ43" i="13"/>
  <c r="BP43" i="13"/>
  <c r="BO43" i="13"/>
  <c r="BN43" i="13"/>
  <c r="BM43" i="13"/>
  <c r="BL43" i="13"/>
  <c r="BK43" i="13"/>
  <c r="BJ43" i="13"/>
  <c r="BI43" i="13"/>
  <c r="BH43" i="13"/>
  <c r="BG43" i="13"/>
  <c r="BF43" i="13"/>
  <c r="BE43" i="13"/>
  <c r="BD43" i="13"/>
  <c r="BC43" i="13"/>
  <c r="BB43" i="13"/>
  <c r="BA43" i="13"/>
  <c r="AZ43" i="13"/>
  <c r="AY43" i="13"/>
  <c r="AX43" i="13"/>
  <c r="AT43" i="13"/>
  <c r="AS43" i="13"/>
  <c r="AR43" i="13"/>
  <c r="AK43" i="13"/>
  <c r="AJ43" i="13"/>
  <c r="AI43" i="13"/>
  <c r="AH43" i="13"/>
  <c r="AG43" i="13"/>
  <c r="AF43" i="13"/>
  <c r="AE43" i="13"/>
  <c r="AD43" i="13"/>
  <c r="AC43" i="13"/>
  <c r="AB43" i="13"/>
  <c r="AA43" i="13"/>
  <c r="Z43" i="13"/>
  <c r="Y43" i="13"/>
  <c r="X43" i="13"/>
  <c r="W43" i="13"/>
  <c r="V43" i="13"/>
  <c r="U43" i="13"/>
  <c r="T43" i="13"/>
  <c r="S43" i="13"/>
  <c r="R43" i="13"/>
  <c r="Q43" i="13"/>
  <c r="P43" i="13"/>
  <c r="O43" i="13"/>
  <c r="N43" i="13"/>
  <c r="M43" i="13"/>
  <c r="L43" i="13"/>
  <c r="K43" i="13"/>
  <c r="J43" i="13"/>
  <c r="I43" i="13"/>
  <c r="H43" i="13"/>
  <c r="G43" i="13"/>
  <c r="F43" i="13"/>
  <c r="E43" i="13"/>
  <c r="DC42" i="13"/>
  <c r="DB42" i="13"/>
  <c r="DA42" i="13"/>
  <c r="CZ42" i="13"/>
  <c r="CY42" i="13"/>
  <c r="CX42" i="13"/>
  <c r="CW42" i="13"/>
  <c r="CV42" i="13"/>
  <c r="CU42" i="13"/>
  <c r="CT42" i="13"/>
  <c r="BU42" i="13"/>
  <c r="BT42" i="13"/>
  <c r="BS42" i="13"/>
  <c r="BR42" i="13"/>
  <c r="BQ42" i="13"/>
  <c r="BP42" i="13"/>
  <c r="BO42" i="13"/>
  <c r="BN42" i="13"/>
  <c r="BM42" i="13"/>
  <c r="BL42" i="13"/>
  <c r="BK42" i="13"/>
  <c r="BJ42" i="13"/>
  <c r="BI42" i="13"/>
  <c r="BH42" i="13"/>
  <c r="BG42" i="13"/>
  <c r="BF42" i="13"/>
  <c r="BE42" i="13"/>
  <c r="BD42" i="13"/>
  <c r="BC42" i="13"/>
  <c r="BB42" i="13"/>
  <c r="BA42" i="13"/>
  <c r="AZ42" i="13"/>
  <c r="AY42" i="13"/>
  <c r="AX42" i="13"/>
  <c r="AT42" i="13"/>
  <c r="AS42" i="13"/>
  <c r="AR42" i="13"/>
  <c r="AK42" i="13"/>
  <c r="AJ42" i="13"/>
  <c r="AI42" i="13"/>
  <c r="AH42" i="13"/>
  <c r="AG42" i="13"/>
  <c r="AF42" i="13"/>
  <c r="AE42" i="13"/>
  <c r="AD42" i="13"/>
  <c r="AC42" i="13"/>
  <c r="AB42" i="13"/>
  <c r="AA42" i="13"/>
  <c r="Z42" i="13"/>
  <c r="Y42" i="13"/>
  <c r="X42" i="13"/>
  <c r="W42" i="13"/>
  <c r="V42" i="13"/>
  <c r="U42" i="13"/>
  <c r="T42" i="13"/>
  <c r="S42" i="13"/>
  <c r="R42" i="13"/>
  <c r="Q42" i="13"/>
  <c r="P42" i="13"/>
  <c r="O42" i="13"/>
  <c r="N42" i="13"/>
  <c r="M42" i="13"/>
  <c r="L42" i="13"/>
  <c r="K42" i="13"/>
  <c r="J42" i="13"/>
  <c r="I42" i="13"/>
  <c r="H42" i="13"/>
  <c r="G42" i="13"/>
  <c r="F42" i="13"/>
  <c r="E42" i="13"/>
  <c r="DC41" i="13"/>
  <c r="DB41" i="13"/>
  <c r="DA41" i="13"/>
  <c r="CZ41" i="13"/>
  <c r="CY41" i="13"/>
  <c r="CX41" i="13"/>
  <c r="CW41" i="13"/>
  <c r="CV41" i="13"/>
  <c r="CU41" i="13"/>
  <c r="CT41" i="13"/>
  <c r="BU41" i="13"/>
  <c r="BT41" i="13"/>
  <c r="BS41" i="13"/>
  <c r="BR41" i="13"/>
  <c r="BQ41" i="13"/>
  <c r="BP41" i="13"/>
  <c r="BO41" i="13"/>
  <c r="BN41" i="13"/>
  <c r="BM41" i="13"/>
  <c r="BL41" i="13"/>
  <c r="BK41" i="13"/>
  <c r="BJ41" i="13"/>
  <c r="BI41" i="13"/>
  <c r="BH41" i="13"/>
  <c r="BG41" i="13"/>
  <c r="BF41" i="13"/>
  <c r="BE41" i="13"/>
  <c r="BD41" i="13"/>
  <c r="BC41" i="13"/>
  <c r="BB41" i="13"/>
  <c r="BA41" i="13"/>
  <c r="AZ41" i="13"/>
  <c r="AY41" i="13"/>
  <c r="AX41" i="13"/>
  <c r="AT41" i="13"/>
  <c r="AS41" i="13"/>
  <c r="AR41" i="13"/>
  <c r="AK41" i="13"/>
  <c r="AJ41" i="13"/>
  <c r="AI41" i="13"/>
  <c r="AH41" i="13"/>
  <c r="AG41" i="13"/>
  <c r="AF41" i="13"/>
  <c r="AE41" i="13"/>
  <c r="AD41" i="13"/>
  <c r="AC41" i="13"/>
  <c r="AB41" i="13"/>
  <c r="AA41" i="13"/>
  <c r="Z41" i="13"/>
  <c r="Y41" i="13"/>
  <c r="X41" i="13"/>
  <c r="W41" i="13"/>
  <c r="V41" i="13"/>
  <c r="U41" i="13"/>
  <c r="T41" i="13"/>
  <c r="S41" i="13"/>
  <c r="R41" i="13"/>
  <c r="Q41" i="13"/>
  <c r="P41" i="13"/>
  <c r="O41" i="13"/>
  <c r="N41" i="13"/>
  <c r="M41" i="13"/>
  <c r="L41" i="13"/>
  <c r="K41" i="13"/>
  <c r="J41" i="13"/>
  <c r="I41" i="13"/>
  <c r="H41" i="13"/>
  <c r="G41" i="13"/>
  <c r="F41" i="13"/>
  <c r="E41" i="13"/>
  <c r="DC40" i="13"/>
  <c r="DB40" i="13"/>
  <c r="DA40" i="13"/>
  <c r="CZ40" i="13"/>
  <c r="CY40" i="13"/>
  <c r="CX40" i="13"/>
  <c r="CW40" i="13"/>
  <c r="CV40" i="13"/>
  <c r="CU40" i="13"/>
  <c r="CT40" i="13"/>
  <c r="BU40" i="13"/>
  <c r="BT40" i="13"/>
  <c r="BS40" i="13"/>
  <c r="BR40" i="13"/>
  <c r="BQ40" i="13"/>
  <c r="BP40" i="13"/>
  <c r="BO40" i="13"/>
  <c r="BN40" i="13"/>
  <c r="BM40" i="13"/>
  <c r="BL40" i="13"/>
  <c r="BK40" i="13"/>
  <c r="BJ40" i="13"/>
  <c r="BI40" i="13"/>
  <c r="BH40" i="13"/>
  <c r="BG40" i="13"/>
  <c r="BF40" i="13"/>
  <c r="BE40" i="13"/>
  <c r="BD40" i="13"/>
  <c r="BC40" i="13"/>
  <c r="BB40" i="13"/>
  <c r="BA40" i="13"/>
  <c r="AZ40" i="13"/>
  <c r="AY40" i="13"/>
  <c r="AX40" i="13"/>
  <c r="AT40" i="13"/>
  <c r="AS40" i="13"/>
  <c r="AR40" i="13"/>
  <c r="AK40" i="13"/>
  <c r="AJ40" i="13"/>
  <c r="AI40" i="13"/>
  <c r="AH40" i="13"/>
  <c r="AG40" i="13"/>
  <c r="AF40" i="13"/>
  <c r="AE40" i="13"/>
  <c r="AD40" i="13"/>
  <c r="AC40" i="13"/>
  <c r="AB40" i="13"/>
  <c r="AA40" i="13"/>
  <c r="Z40" i="13"/>
  <c r="Y40" i="13"/>
  <c r="X40" i="13"/>
  <c r="W40" i="13"/>
  <c r="V40" i="13"/>
  <c r="U40" i="13"/>
  <c r="T40" i="13"/>
  <c r="S40" i="13"/>
  <c r="R40" i="13"/>
  <c r="Q40" i="13"/>
  <c r="P40" i="13"/>
  <c r="O40" i="13"/>
  <c r="N40" i="13"/>
  <c r="M40" i="13"/>
  <c r="L40" i="13"/>
  <c r="K40" i="13"/>
  <c r="J40" i="13"/>
  <c r="I40" i="13"/>
  <c r="H40" i="13"/>
  <c r="G40" i="13"/>
  <c r="F40" i="13"/>
  <c r="E40" i="13"/>
  <c r="DC39" i="13"/>
  <c r="DB39" i="13"/>
  <c r="DA39" i="13"/>
  <c r="CZ39" i="13"/>
  <c r="CY39" i="13"/>
  <c r="CX39" i="13"/>
  <c r="CW39" i="13"/>
  <c r="CV39" i="13"/>
  <c r="CU39" i="13"/>
  <c r="CT39" i="13"/>
  <c r="BU39" i="13"/>
  <c r="BT39" i="13"/>
  <c r="BS39" i="13"/>
  <c r="BR39" i="13"/>
  <c r="BQ39" i="13"/>
  <c r="BP39" i="13"/>
  <c r="BO39" i="13"/>
  <c r="BN39" i="13"/>
  <c r="BM39" i="13"/>
  <c r="BL39" i="13"/>
  <c r="BK39" i="13"/>
  <c r="BJ39" i="13"/>
  <c r="BI39" i="13"/>
  <c r="BH39" i="13"/>
  <c r="BG39" i="13"/>
  <c r="BF39" i="13"/>
  <c r="BE39" i="13"/>
  <c r="BD39" i="13"/>
  <c r="BC39" i="13"/>
  <c r="BB39" i="13"/>
  <c r="BA39" i="13"/>
  <c r="AZ39" i="13"/>
  <c r="AY39" i="13"/>
  <c r="AX39" i="13"/>
  <c r="AT39" i="13"/>
  <c r="AS39" i="13"/>
  <c r="AR39" i="13"/>
  <c r="AK39" i="13"/>
  <c r="AJ39" i="13"/>
  <c r="AI39" i="13"/>
  <c r="AH39" i="13"/>
  <c r="AG39" i="13"/>
  <c r="AF39" i="13"/>
  <c r="AE39" i="13"/>
  <c r="AD39" i="13"/>
  <c r="AC39" i="13"/>
  <c r="AB39" i="13"/>
  <c r="AA39" i="13"/>
  <c r="Z39" i="13"/>
  <c r="Y39" i="13"/>
  <c r="X39" i="13"/>
  <c r="W39" i="13"/>
  <c r="V39" i="13"/>
  <c r="U39" i="13"/>
  <c r="T39" i="13"/>
  <c r="S39" i="13"/>
  <c r="R39" i="13"/>
  <c r="Q39" i="13"/>
  <c r="P39" i="13"/>
  <c r="O39" i="13"/>
  <c r="N39" i="13"/>
  <c r="M39" i="13"/>
  <c r="L39" i="13"/>
  <c r="K39" i="13"/>
  <c r="J39" i="13"/>
  <c r="I39" i="13"/>
  <c r="H39" i="13"/>
  <c r="G39" i="13"/>
  <c r="F39" i="13"/>
  <c r="E39" i="13"/>
  <c r="DC38" i="13"/>
  <c r="DB38" i="13"/>
  <c r="DA38" i="13"/>
  <c r="CZ38" i="13"/>
  <c r="CY38" i="13"/>
  <c r="CX38" i="13"/>
  <c r="CW38" i="13"/>
  <c r="CV38" i="13"/>
  <c r="CU38" i="13"/>
  <c r="CT38" i="13"/>
  <c r="BU38" i="13"/>
  <c r="BT38" i="13"/>
  <c r="BS38" i="13"/>
  <c r="BR38" i="13"/>
  <c r="BQ38" i="13"/>
  <c r="BP38" i="13"/>
  <c r="BO38" i="13"/>
  <c r="BN38" i="13"/>
  <c r="BM38" i="13"/>
  <c r="BL38" i="13"/>
  <c r="BK38" i="13"/>
  <c r="BJ38" i="13"/>
  <c r="BI38" i="13"/>
  <c r="BH38" i="13"/>
  <c r="BG38" i="13"/>
  <c r="BF38" i="13"/>
  <c r="BE38" i="13"/>
  <c r="BD38" i="13"/>
  <c r="BC38" i="13"/>
  <c r="BB38" i="13"/>
  <c r="BA38" i="13"/>
  <c r="AZ38" i="13"/>
  <c r="AY38" i="13"/>
  <c r="AX38" i="13"/>
  <c r="AK38" i="13"/>
  <c r="AJ38" i="13"/>
  <c r="AI38" i="13"/>
  <c r="AH38" i="13"/>
  <c r="AG38" i="13"/>
  <c r="AF38" i="13"/>
  <c r="AE38" i="13"/>
  <c r="AD38" i="13"/>
  <c r="AC38" i="13"/>
  <c r="AB38" i="13"/>
  <c r="AA38" i="13"/>
  <c r="Z38" i="13"/>
  <c r="Y38" i="13"/>
  <c r="X38" i="13"/>
  <c r="W38" i="13"/>
  <c r="V38" i="13"/>
  <c r="U38" i="13"/>
  <c r="T38" i="13"/>
  <c r="S38" i="13"/>
  <c r="R38" i="13"/>
  <c r="Q38" i="13"/>
  <c r="P38" i="13"/>
  <c r="O38" i="13"/>
  <c r="N38" i="13"/>
  <c r="M38" i="13"/>
  <c r="L38" i="13"/>
  <c r="K38" i="13"/>
  <c r="J38" i="13"/>
  <c r="I38" i="13"/>
  <c r="H38" i="13"/>
  <c r="G38" i="13"/>
  <c r="F38" i="13"/>
  <c r="E38" i="13"/>
  <c r="DC37" i="13"/>
  <c r="DB37" i="13"/>
  <c r="DA37" i="13"/>
  <c r="CZ37" i="13"/>
  <c r="CY37" i="13"/>
  <c r="CX37" i="13"/>
  <c r="CW37" i="13"/>
  <c r="CV37" i="13"/>
  <c r="CU37" i="13"/>
  <c r="CT37" i="13"/>
  <c r="BU37" i="13"/>
  <c r="BT37" i="13"/>
  <c r="BS37" i="13"/>
  <c r="BR37" i="13"/>
  <c r="BQ37" i="13"/>
  <c r="BP37" i="13"/>
  <c r="BO37" i="13"/>
  <c r="BN37" i="13"/>
  <c r="BM37" i="13"/>
  <c r="BL37" i="13"/>
  <c r="BK37" i="13"/>
  <c r="BJ37" i="13"/>
  <c r="BI37" i="13"/>
  <c r="BH37" i="13"/>
  <c r="BG37" i="13"/>
  <c r="BF37" i="13"/>
  <c r="BE37" i="13"/>
  <c r="BD37" i="13"/>
  <c r="BC37" i="13"/>
  <c r="BB37" i="13"/>
  <c r="BA37" i="13"/>
  <c r="AZ37" i="13"/>
  <c r="AY37" i="13"/>
  <c r="AX37" i="13"/>
  <c r="AK37" i="13"/>
  <c r="AJ37" i="13"/>
  <c r="AI37" i="13"/>
  <c r="AH37" i="13"/>
  <c r="AG37" i="13"/>
  <c r="AF37" i="13"/>
  <c r="AE37" i="13"/>
  <c r="AD37" i="13"/>
  <c r="AC37" i="13"/>
  <c r="AB37" i="13"/>
  <c r="AA37" i="13"/>
  <c r="Z37" i="13"/>
  <c r="Y37" i="13"/>
  <c r="X37" i="13"/>
  <c r="W37" i="13"/>
  <c r="V37" i="13"/>
  <c r="U37" i="13"/>
  <c r="T37" i="13"/>
  <c r="S37" i="13"/>
  <c r="R37" i="13"/>
  <c r="Q37" i="13"/>
  <c r="P37" i="13"/>
  <c r="O37" i="13"/>
  <c r="N37" i="13"/>
  <c r="M37" i="13"/>
  <c r="L37" i="13"/>
  <c r="K37" i="13"/>
  <c r="J37" i="13"/>
  <c r="I37" i="13"/>
  <c r="H37" i="13"/>
  <c r="G37" i="13"/>
  <c r="F37" i="13"/>
  <c r="E37" i="13"/>
  <c r="DC36" i="13"/>
  <c r="DB36" i="13"/>
  <c r="DA36" i="13"/>
  <c r="CZ36" i="13"/>
  <c r="CY36" i="13"/>
  <c r="CX36" i="13"/>
  <c r="CW36" i="13"/>
  <c r="CV36" i="13"/>
  <c r="CU36" i="13"/>
  <c r="CT36" i="13"/>
  <c r="BU36" i="13"/>
  <c r="BT36" i="13"/>
  <c r="BS36" i="13"/>
  <c r="BR36" i="13"/>
  <c r="BQ36" i="13"/>
  <c r="BP36" i="13"/>
  <c r="BO36" i="13"/>
  <c r="BN36" i="13"/>
  <c r="BM36" i="13"/>
  <c r="BL36" i="13"/>
  <c r="BK36" i="13"/>
  <c r="BJ36" i="13"/>
  <c r="BI36" i="13"/>
  <c r="BH36" i="13"/>
  <c r="BG36" i="13"/>
  <c r="BF36" i="13"/>
  <c r="BE36" i="13"/>
  <c r="BD36" i="13"/>
  <c r="BC36" i="13"/>
  <c r="BB36" i="13"/>
  <c r="BA36" i="13"/>
  <c r="AZ36" i="13"/>
  <c r="AY36" i="13"/>
  <c r="AX36" i="13"/>
  <c r="AK36" i="13"/>
  <c r="AJ36" i="13"/>
  <c r="AI36" i="13"/>
  <c r="AH36" i="13"/>
  <c r="AG36" i="13"/>
  <c r="AF36" i="13"/>
  <c r="AE36" i="13"/>
  <c r="AD36" i="13"/>
  <c r="AC36" i="13"/>
  <c r="AB36" i="13"/>
  <c r="AA36" i="13"/>
  <c r="Z36" i="13"/>
  <c r="Y36" i="13"/>
  <c r="X36" i="13"/>
  <c r="W36" i="13"/>
  <c r="V36" i="13"/>
  <c r="U36" i="13"/>
  <c r="T36" i="13"/>
  <c r="S36" i="13"/>
  <c r="R36" i="13"/>
  <c r="Q36" i="13"/>
  <c r="P36" i="13"/>
  <c r="O36" i="13"/>
  <c r="N36" i="13"/>
  <c r="M36" i="13"/>
  <c r="L36" i="13"/>
  <c r="K36" i="13"/>
  <c r="J36" i="13"/>
  <c r="I36" i="13"/>
  <c r="H36" i="13"/>
  <c r="G36" i="13"/>
  <c r="F36" i="13"/>
  <c r="E36" i="13"/>
  <c r="DC35" i="13"/>
  <c r="DB35" i="13"/>
  <c r="DA35" i="13"/>
  <c r="CZ35" i="13"/>
  <c r="CY35" i="13"/>
  <c r="CX35" i="13"/>
  <c r="CW35" i="13"/>
  <c r="CV35" i="13"/>
  <c r="CU35" i="13"/>
  <c r="CT35" i="13"/>
  <c r="BU35" i="13"/>
  <c r="BT35" i="13"/>
  <c r="BS35" i="13"/>
  <c r="BR35" i="13"/>
  <c r="BQ35" i="13"/>
  <c r="BP35" i="13"/>
  <c r="BO35" i="13"/>
  <c r="BN35" i="13"/>
  <c r="BM35" i="13"/>
  <c r="BL35" i="13"/>
  <c r="BK35" i="13"/>
  <c r="BJ35" i="13"/>
  <c r="BI35" i="13"/>
  <c r="BH35" i="13"/>
  <c r="BG35" i="13"/>
  <c r="BF35" i="13"/>
  <c r="BE35" i="13"/>
  <c r="BD35" i="13"/>
  <c r="BC35" i="13"/>
  <c r="BB35" i="13"/>
  <c r="BA35" i="13"/>
  <c r="AZ35" i="13"/>
  <c r="AY35" i="13"/>
  <c r="AX35" i="13"/>
  <c r="AK35" i="13"/>
  <c r="AJ35" i="13"/>
  <c r="AI35" i="13"/>
  <c r="AH35" i="13"/>
  <c r="AG35" i="13"/>
  <c r="AF35" i="13"/>
  <c r="AE35" i="13"/>
  <c r="AD35" i="13"/>
  <c r="AC35" i="13"/>
  <c r="AB35" i="13"/>
  <c r="AA35" i="13"/>
  <c r="Z35" i="13"/>
  <c r="Y35" i="13"/>
  <c r="X35" i="13"/>
  <c r="W35" i="13"/>
  <c r="V35" i="13"/>
  <c r="U35" i="13"/>
  <c r="T35" i="13"/>
  <c r="S35" i="13"/>
  <c r="R35" i="13"/>
  <c r="Q35" i="13"/>
  <c r="P35" i="13"/>
  <c r="O35" i="13"/>
  <c r="N35" i="13"/>
  <c r="M35" i="13"/>
  <c r="L35" i="13"/>
  <c r="K35" i="13"/>
  <c r="J35" i="13"/>
  <c r="I35" i="13"/>
  <c r="H35" i="13"/>
  <c r="G35" i="13"/>
  <c r="F35" i="13"/>
  <c r="E35" i="13"/>
  <c r="DC34" i="13"/>
  <c r="DB34" i="13"/>
  <c r="DA34" i="13"/>
  <c r="CZ34" i="13"/>
  <c r="CY34" i="13"/>
  <c r="CX34" i="13"/>
  <c r="CW34" i="13"/>
  <c r="CV34" i="13"/>
  <c r="CU34" i="13"/>
  <c r="CT34" i="13"/>
  <c r="BU34" i="13"/>
  <c r="BT34" i="13"/>
  <c r="BS34" i="13"/>
  <c r="BR34" i="13"/>
  <c r="BQ34" i="13"/>
  <c r="BP34" i="13"/>
  <c r="BO34" i="13"/>
  <c r="BN34" i="13"/>
  <c r="BM34" i="13"/>
  <c r="BL34" i="13"/>
  <c r="BK34" i="13"/>
  <c r="BJ34" i="13"/>
  <c r="BI34" i="13"/>
  <c r="BH34" i="13"/>
  <c r="BG34" i="13"/>
  <c r="BF34" i="13"/>
  <c r="BE34" i="13"/>
  <c r="BD34" i="13"/>
  <c r="BC34" i="13"/>
  <c r="BB34" i="13"/>
  <c r="BA34" i="13"/>
  <c r="AZ34" i="13"/>
  <c r="AY34" i="13"/>
  <c r="AX34" i="13"/>
  <c r="AK34" i="13"/>
  <c r="AJ34" i="13"/>
  <c r="AI34" i="13"/>
  <c r="AH34" i="13"/>
  <c r="AG34" i="13"/>
  <c r="AF34" i="13"/>
  <c r="AE34" i="13"/>
  <c r="AD34" i="13"/>
  <c r="AC34" i="13"/>
  <c r="AB34" i="13"/>
  <c r="AA34" i="13"/>
  <c r="Z34" i="13"/>
  <c r="Y34" i="13"/>
  <c r="X34" i="13"/>
  <c r="W34" i="13"/>
  <c r="V34" i="13"/>
  <c r="U34" i="13"/>
  <c r="T34" i="13"/>
  <c r="S34" i="13"/>
  <c r="R34" i="13"/>
  <c r="Q34" i="13"/>
  <c r="P34" i="13"/>
  <c r="O34" i="13"/>
  <c r="N34" i="13"/>
  <c r="M34" i="13"/>
  <c r="L34" i="13"/>
  <c r="K34" i="13"/>
  <c r="J34" i="13"/>
  <c r="I34" i="13"/>
  <c r="H34" i="13"/>
  <c r="G34" i="13"/>
  <c r="F34" i="13"/>
  <c r="E34" i="13"/>
  <c r="DC33" i="13"/>
  <c r="DB33" i="13"/>
  <c r="DA33" i="13"/>
  <c r="CZ33" i="13"/>
  <c r="CY33" i="13"/>
  <c r="CX33" i="13"/>
  <c r="CW33" i="13"/>
  <c r="CV33" i="13"/>
  <c r="CU33" i="13"/>
  <c r="CT33" i="13"/>
  <c r="BU33" i="13"/>
  <c r="BT33" i="13"/>
  <c r="BS33" i="13"/>
  <c r="BR33" i="13"/>
  <c r="BQ33" i="13"/>
  <c r="BP33" i="13"/>
  <c r="BO33" i="13"/>
  <c r="BN33" i="13"/>
  <c r="BM33" i="13"/>
  <c r="BL33" i="13"/>
  <c r="BK33" i="13"/>
  <c r="BJ33" i="13"/>
  <c r="BI33" i="13"/>
  <c r="BH33" i="13"/>
  <c r="BG33" i="13"/>
  <c r="BF33" i="13"/>
  <c r="BE33" i="13"/>
  <c r="BD33" i="13"/>
  <c r="BC33" i="13"/>
  <c r="BB33" i="13"/>
  <c r="BA33" i="13"/>
  <c r="AZ33" i="13"/>
  <c r="AY33" i="13"/>
  <c r="AX33" i="13"/>
  <c r="AK33" i="13"/>
  <c r="AJ33" i="13"/>
  <c r="AI33" i="13"/>
  <c r="AH33" i="13"/>
  <c r="AG33" i="13"/>
  <c r="AF33" i="13"/>
  <c r="AE33" i="13"/>
  <c r="AD33" i="13"/>
  <c r="AC33" i="13"/>
  <c r="AB33" i="13"/>
  <c r="AA33" i="13"/>
  <c r="Z33" i="13"/>
  <c r="Y33" i="13"/>
  <c r="X33" i="13"/>
  <c r="W33" i="13"/>
  <c r="V33" i="13"/>
  <c r="U33" i="13"/>
  <c r="T33" i="13"/>
  <c r="S33" i="13"/>
  <c r="R33" i="13"/>
  <c r="Q33" i="13"/>
  <c r="P33" i="13"/>
  <c r="O33" i="13"/>
  <c r="N33" i="13"/>
  <c r="M33" i="13"/>
  <c r="L33" i="13"/>
  <c r="K33" i="13"/>
  <c r="J33" i="13"/>
  <c r="I33" i="13"/>
  <c r="H33" i="13"/>
  <c r="G33" i="13"/>
  <c r="F33" i="13"/>
  <c r="E33" i="13"/>
  <c r="DC32" i="13"/>
  <c r="DB32" i="13"/>
  <c r="DA32" i="13"/>
  <c r="CZ32" i="13"/>
  <c r="CY32" i="13"/>
  <c r="CX32" i="13"/>
  <c r="CW32" i="13"/>
  <c r="CV32" i="13"/>
  <c r="CU32" i="13"/>
  <c r="CT32" i="13"/>
  <c r="BU32" i="13"/>
  <c r="BT32" i="13"/>
  <c r="BS32" i="13"/>
  <c r="BR32" i="13"/>
  <c r="BQ32" i="13"/>
  <c r="BP32" i="13"/>
  <c r="BO32" i="13"/>
  <c r="BN32" i="13"/>
  <c r="BM32" i="13"/>
  <c r="BL32" i="13"/>
  <c r="BK32" i="13"/>
  <c r="BJ32" i="13"/>
  <c r="BI32" i="13"/>
  <c r="BH32" i="13"/>
  <c r="BG32" i="13"/>
  <c r="BF32" i="13"/>
  <c r="BE32" i="13"/>
  <c r="BD32" i="13"/>
  <c r="BC32" i="13"/>
  <c r="BB32" i="13"/>
  <c r="BA32" i="13"/>
  <c r="AZ32" i="13"/>
  <c r="AY32" i="13"/>
  <c r="AX32" i="13"/>
  <c r="AK32" i="13"/>
  <c r="AJ32" i="13"/>
  <c r="AI32" i="13"/>
  <c r="AH32" i="13"/>
  <c r="AG32" i="13"/>
  <c r="AF32" i="13"/>
  <c r="AE32" i="13"/>
  <c r="AD32" i="13"/>
  <c r="AC32" i="13"/>
  <c r="AB32" i="13"/>
  <c r="AA32" i="13"/>
  <c r="Z32" i="13"/>
  <c r="Y32" i="13"/>
  <c r="X32" i="13"/>
  <c r="W32" i="13"/>
  <c r="V32" i="13"/>
  <c r="U32" i="13"/>
  <c r="T32" i="13"/>
  <c r="S32" i="13"/>
  <c r="R32" i="13"/>
  <c r="Q32" i="13"/>
  <c r="P32" i="13"/>
  <c r="O32" i="13"/>
  <c r="N32" i="13"/>
  <c r="M32" i="13"/>
  <c r="L32" i="13"/>
  <c r="K32" i="13"/>
  <c r="J32" i="13"/>
  <c r="I32" i="13"/>
  <c r="H32" i="13"/>
  <c r="G32" i="13"/>
  <c r="F32" i="13"/>
  <c r="E32" i="13"/>
  <c r="DC31" i="13"/>
  <c r="DB31" i="13"/>
  <c r="DA31" i="13"/>
  <c r="CZ31" i="13"/>
  <c r="CY31" i="13"/>
  <c r="CX31" i="13"/>
  <c r="CW31" i="13"/>
  <c r="CV31" i="13"/>
  <c r="CU31" i="13"/>
  <c r="CT31" i="13"/>
  <c r="BU31" i="13"/>
  <c r="BT31" i="13"/>
  <c r="BS31" i="13"/>
  <c r="BR31" i="13"/>
  <c r="BQ31" i="13"/>
  <c r="BP31" i="13"/>
  <c r="BO31" i="13"/>
  <c r="BN31" i="13"/>
  <c r="BM31" i="13"/>
  <c r="BL31" i="13"/>
  <c r="BK31" i="13"/>
  <c r="BJ31" i="13"/>
  <c r="BI31" i="13"/>
  <c r="BH31" i="13"/>
  <c r="BG31" i="13"/>
  <c r="BF31" i="13"/>
  <c r="BE31" i="13"/>
  <c r="BD31" i="13"/>
  <c r="BC31" i="13"/>
  <c r="BB31" i="13"/>
  <c r="BA31" i="13"/>
  <c r="AZ31" i="13"/>
  <c r="AY31" i="13"/>
  <c r="AX31" i="13"/>
  <c r="AK31" i="13"/>
  <c r="AJ31" i="13"/>
  <c r="AI31" i="13"/>
  <c r="AH31" i="13"/>
  <c r="AG31" i="13"/>
  <c r="AF31" i="13"/>
  <c r="AE31" i="13"/>
  <c r="AD31" i="13"/>
  <c r="AC31" i="13"/>
  <c r="AB31" i="13"/>
  <c r="AA31" i="13"/>
  <c r="Z31" i="13"/>
  <c r="Y31" i="13"/>
  <c r="X31" i="13"/>
  <c r="W31" i="13"/>
  <c r="V31" i="13"/>
  <c r="U31" i="13"/>
  <c r="T31" i="13"/>
  <c r="S31" i="13"/>
  <c r="R31" i="13"/>
  <c r="Q31" i="13"/>
  <c r="P31" i="13"/>
  <c r="O31" i="13"/>
  <c r="N31" i="13"/>
  <c r="M31" i="13"/>
  <c r="L31" i="13"/>
  <c r="K31" i="13"/>
  <c r="J31" i="13"/>
  <c r="I31" i="13"/>
  <c r="H31" i="13"/>
  <c r="G31" i="13"/>
  <c r="F31" i="13"/>
  <c r="E31" i="13"/>
  <c r="DC30" i="13"/>
  <c r="DB30" i="13"/>
  <c r="DA30" i="13"/>
  <c r="CZ30" i="13"/>
  <c r="CY30" i="13"/>
  <c r="CX30" i="13"/>
  <c r="CW30" i="13"/>
  <c r="CV30" i="13"/>
  <c r="CU30" i="13"/>
  <c r="CT30" i="13"/>
  <c r="BU30" i="13"/>
  <c r="BT30" i="13"/>
  <c r="BS30" i="13"/>
  <c r="BR30" i="13"/>
  <c r="BQ30" i="13"/>
  <c r="BP30" i="13"/>
  <c r="BO30" i="13"/>
  <c r="BN30" i="13"/>
  <c r="BM30" i="13"/>
  <c r="BL30" i="13"/>
  <c r="BK30" i="13"/>
  <c r="BJ30" i="13"/>
  <c r="BI30" i="13"/>
  <c r="BH30" i="13"/>
  <c r="BG30" i="13"/>
  <c r="BF30" i="13"/>
  <c r="BE30" i="13"/>
  <c r="BD30" i="13"/>
  <c r="BC30" i="13"/>
  <c r="BB30" i="13"/>
  <c r="BA30" i="13"/>
  <c r="AZ30" i="13"/>
  <c r="AY30" i="13"/>
  <c r="AX30" i="13"/>
  <c r="AK30" i="13"/>
  <c r="AJ30" i="13"/>
  <c r="AI30" i="13"/>
  <c r="AH30" i="13"/>
  <c r="AG30" i="13"/>
  <c r="AF30" i="13"/>
  <c r="AE30" i="13"/>
  <c r="AD30" i="13"/>
  <c r="AC30" i="13"/>
  <c r="AB30" i="13"/>
  <c r="AA30" i="13"/>
  <c r="Z30" i="13"/>
  <c r="Y30" i="13"/>
  <c r="X30" i="13"/>
  <c r="W30" i="13"/>
  <c r="V30" i="13"/>
  <c r="U30" i="13"/>
  <c r="T30" i="13"/>
  <c r="S30" i="13"/>
  <c r="R30" i="13"/>
  <c r="Q30" i="13"/>
  <c r="P30" i="13"/>
  <c r="O30" i="13"/>
  <c r="N30" i="13"/>
  <c r="M30" i="13"/>
  <c r="L30" i="13"/>
  <c r="K30" i="13"/>
  <c r="J30" i="13"/>
  <c r="I30" i="13"/>
  <c r="H30" i="13"/>
  <c r="G30" i="13"/>
  <c r="F30" i="13"/>
  <c r="E30" i="13"/>
  <c r="DC29" i="13"/>
  <c r="DB29" i="13"/>
  <c r="DA29" i="13"/>
  <c r="CZ29" i="13"/>
  <c r="CY29" i="13"/>
  <c r="CX29" i="13"/>
  <c r="CW29" i="13"/>
  <c r="CV29" i="13"/>
  <c r="CU29" i="13"/>
  <c r="CT29" i="13"/>
  <c r="BU29" i="13"/>
  <c r="BT29" i="13"/>
  <c r="BS29" i="13"/>
  <c r="BR29" i="13"/>
  <c r="BQ29" i="13"/>
  <c r="BP29" i="13"/>
  <c r="BO29" i="13"/>
  <c r="BN29" i="13"/>
  <c r="BM29" i="13"/>
  <c r="BL29" i="13"/>
  <c r="BK29" i="13"/>
  <c r="BJ29" i="13"/>
  <c r="BI29" i="13"/>
  <c r="BH29" i="13"/>
  <c r="BG29" i="13"/>
  <c r="BF29" i="13"/>
  <c r="BE29" i="13"/>
  <c r="BD29" i="13"/>
  <c r="BC29" i="13"/>
  <c r="BB29" i="13"/>
  <c r="BA29" i="13"/>
  <c r="AZ29" i="13"/>
  <c r="AY29" i="13"/>
  <c r="AX29" i="13"/>
  <c r="AK29" i="13"/>
  <c r="AJ29" i="13"/>
  <c r="AI29" i="13"/>
  <c r="AH29" i="13"/>
  <c r="AG29" i="13"/>
  <c r="AF29" i="13"/>
  <c r="AE29" i="13"/>
  <c r="AD29" i="13"/>
  <c r="AC29" i="13"/>
  <c r="AB29" i="13"/>
  <c r="AA29" i="13"/>
  <c r="Z29" i="13"/>
  <c r="Y29" i="13"/>
  <c r="X29" i="13"/>
  <c r="W29" i="13"/>
  <c r="V29" i="13"/>
  <c r="U29" i="13"/>
  <c r="T29" i="13"/>
  <c r="S29" i="13"/>
  <c r="R29" i="13"/>
  <c r="Q29" i="13"/>
  <c r="P29" i="13"/>
  <c r="O29" i="13"/>
  <c r="N29" i="13"/>
  <c r="M29" i="13"/>
  <c r="L29" i="13"/>
  <c r="K29" i="13"/>
  <c r="J29" i="13"/>
  <c r="I29" i="13"/>
  <c r="H29" i="13"/>
  <c r="G29" i="13"/>
  <c r="F29" i="13"/>
  <c r="E29" i="13"/>
  <c r="DC28" i="13"/>
  <c r="DB28" i="13"/>
  <c r="DA28" i="13"/>
  <c r="CZ28" i="13"/>
  <c r="CY28" i="13"/>
  <c r="CX28" i="13"/>
  <c r="CW28" i="13"/>
  <c r="CV28" i="13"/>
  <c r="CU28" i="13"/>
  <c r="CT28" i="13"/>
  <c r="BU28" i="13"/>
  <c r="BT28" i="13"/>
  <c r="BS28" i="13"/>
  <c r="BR28" i="13"/>
  <c r="BQ28" i="13"/>
  <c r="BP28" i="13"/>
  <c r="BO28" i="13"/>
  <c r="BN28" i="13"/>
  <c r="BM28" i="13"/>
  <c r="BL28" i="13"/>
  <c r="BK28" i="13"/>
  <c r="BJ28" i="13"/>
  <c r="BI28" i="13"/>
  <c r="BH28" i="13"/>
  <c r="BG28" i="13"/>
  <c r="BF28" i="13"/>
  <c r="BE28" i="13"/>
  <c r="BD28" i="13"/>
  <c r="BC28" i="13"/>
  <c r="BB28" i="13"/>
  <c r="BA28" i="13"/>
  <c r="AZ28" i="13"/>
  <c r="AY28" i="13"/>
  <c r="AX28" i="13"/>
  <c r="AK28" i="13"/>
  <c r="AJ28" i="13"/>
  <c r="AI28" i="13"/>
  <c r="AH28" i="13"/>
  <c r="AG28" i="13"/>
  <c r="AF28" i="13"/>
  <c r="AE28" i="13"/>
  <c r="AD28" i="13"/>
  <c r="AC28" i="13"/>
  <c r="AB28" i="13"/>
  <c r="AA28" i="13"/>
  <c r="Z28" i="13"/>
  <c r="Y28" i="13"/>
  <c r="X28" i="13"/>
  <c r="W28" i="13"/>
  <c r="V28" i="13"/>
  <c r="U28" i="13"/>
  <c r="T28" i="13"/>
  <c r="S28" i="13"/>
  <c r="R28" i="13"/>
  <c r="Q28" i="13"/>
  <c r="P28" i="13"/>
  <c r="O28" i="13"/>
  <c r="N28" i="13"/>
  <c r="M28" i="13"/>
  <c r="L28" i="13"/>
  <c r="K28" i="13"/>
  <c r="J28" i="13"/>
  <c r="I28" i="13"/>
  <c r="H28" i="13"/>
  <c r="G28" i="13"/>
  <c r="F28" i="13"/>
  <c r="E28" i="13"/>
  <c r="DC27" i="13"/>
  <c r="DB27" i="13"/>
  <c r="DA27" i="13"/>
  <c r="CZ27" i="13"/>
  <c r="CY27" i="13"/>
  <c r="CX27" i="13"/>
  <c r="CW27" i="13"/>
  <c r="CV27" i="13"/>
  <c r="CU27" i="13"/>
  <c r="CT27" i="13"/>
  <c r="BU27" i="13"/>
  <c r="BT27" i="13"/>
  <c r="BS27" i="13"/>
  <c r="BR27" i="13"/>
  <c r="BQ27" i="13"/>
  <c r="BP27" i="13"/>
  <c r="BO27" i="13"/>
  <c r="BN27" i="13"/>
  <c r="BM27" i="13"/>
  <c r="BL27" i="13"/>
  <c r="BK27" i="13"/>
  <c r="BJ27" i="13"/>
  <c r="BI27" i="13"/>
  <c r="BH27" i="13"/>
  <c r="BG27" i="13"/>
  <c r="BF27" i="13"/>
  <c r="BE27" i="13"/>
  <c r="BD27" i="13"/>
  <c r="BC27" i="13"/>
  <c r="BB27" i="13"/>
  <c r="BA27" i="13"/>
  <c r="AZ27" i="13"/>
  <c r="AY27" i="13"/>
  <c r="AX27" i="13"/>
  <c r="AK27" i="13"/>
  <c r="AJ27" i="13"/>
  <c r="AI27" i="13"/>
  <c r="AH27" i="13"/>
  <c r="AG27" i="13"/>
  <c r="AF27" i="13"/>
  <c r="AE27" i="13"/>
  <c r="AD27" i="13"/>
  <c r="AC27" i="13"/>
  <c r="AB27" i="13"/>
  <c r="AA27" i="13"/>
  <c r="Z27" i="13"/>
  <c r="Y27" i="13"/>
  <c r="X27" i="13"/>
  <c r="W27" i="13"/>
  <c r="V27" i="13"/>
  <c r="U27" i="13"/>
  <c r="T27" i="13"/>
  <c r="S27" i="13"/>
  <c r="R27" i="13"/>
  <c r="Q27" i="13"/>
  <c r="P27" i="13"/>
  <c r="O27" i="13"/>
  <c r="N27" i="13"/>
  <c r="M27" i="13"/>
  <c r="L27" i="13"/>
  <c r="K27" i="13"/>
  <c r="J27" i="13"/>
  <c r="I27" i="13"/>
  <c r="H27" i="13"/>
  <c r="G27" i="13"/>
  <c r="F27" i="13"/>
  <c r="E27" i="13"/>
  <c r="DC26" i="13"/>
  <c r="DB26" i="13"/>
  <c r="DA26" i="13"/>
  <c r="CZ26" i="13"/>
  <c r="CY26" i="13"/>
  <c r="CX26" i="13"/>
  <c r="CW26" i="13"/>
  <c r="CV26" i="13"/>
  <c r="CU26" i="13"/>
  <c r="CT26" i="13"/>
  <c r="BU26" i="13"/>
  <c r="BT26" i="13"/>
  <c r="BS26" i="13"/>
  <c r="BR26" i="13"/>
  <c r="BQ26" i="13"/>
  <c r="BP26" i="13"/>
  <c r="BO26" i="13"/>
  <c r="BN26" i="13"/>
  <c r="BM26" i="13"/>
  <c r="BL26" i="13"/>
  <c r="BK26" i="13"/>
  <c r="BJ26" i="13"/>
  <c r="BI26" i="13"/>
  <c r="BH26" i="13"/>
  <c r="BG26" i="13"/>
  <c r="BF26" i="13"/>
  <c r="BE26" i="13"/>
  <c r="BD26" i="13"/>
  <c r="BC26" i="13"/>
  <c r="BB26" i="13"/>
  <c r="BA26" i="13"/>
  <c r="AZ26" i="13"/>
  <c r="AY26" i="13"/>
  <c r="AX26" i="13"/>
  <c r="AK26" i="13"/>
  <c r="AJ26" i="13"/>
  <c r="AI26" i="13"/>
  <c r="AH26" i="13"/>
  <c r="AG26" i="13"/>
  <c r="AF26" i="13"/>
  <c r="AE26" i="13"/>
  <c r="AD26" i="13"/>
  <c r="AC26" i="13"/>
  <c r="AB26" i="13"/>
  <c r="AA26" i="13"/>
  <c r="Z26" i="13"/>
  <c r="Y26" i="13"/>
  <c r="X26" i="13"/>
  <c r="W26" i="13"/>
  <c r="V26" i="13"/>
  <c r="U26" i="13"/>
  <c r="T26" i="13"/>
  <c r="S26" i="13"/>
  <c r="R26" i="13"/>
  <c r="Q26" i="13"/>
  <c r="P26" i="13"/>
  <c r="O26" i="13"/>
  <c r="N26" i="13"/>
  <c r="M26" i="13"/>
  <c r="L26" i="13"/>
  <c r="K26" i="13"/>
  <c r="J26" i="13"/>
  <c r="I26" i="13"/>
  <c r="H26" i="13"/>
  <c r="G26" i="13"/>
  <c r="F26" i="13"/>
  <c r="E26" i="13"/>
  <c r="DC25" i="13"/>
  <c r="DB25" i="13"/>
  <c r="DA25" i="13"/>
  <c r="CZ25" i="13"/>
  <c r="CY25" i="13"/>
  <c r="CX25" i="13"/>
  <c r="CW25" i="13"/>
  <c r="CV25" i="13"/>
  <c r="CU25" i="13"/>
  <c r="CT25" i="13"/>
  <c r="BU25" i="13"/>
  <c r="BT25" i="13"/>
  <c r="BS25" i="13"/>
  <c r="BR25" i="13"/>
  <c r="BQ25" i="13"/>
  <c r="BP25" i="13"/>
  <c r="BO25" i="13"/>
  <c r="BN25" i="13"/>
  <c r="BM25" i="13"/>
  <c r="BL25" i="13"/>
  <c r="BK25" i="13"/>
  <c r="BJ25" i="13"/>
  <c r="BI25" i="13"/>
  <c r="BH25" i="13"/>
  <c r="BG25" i="13"/>
  <c r="BF25" i="13"/>
  <c r="BE25" i="13"/>
  <c r="BD25" i="13"/>
  <c r="BC25" i="13"/>
  <c r="BB25" i="13"/>
  <c r="BA25" i="13"/>
  <c r="AZ25" i="13"/>
  <c r="AY25" i="13"/>
  <c r="AX25" i="13"/>
  <c r="AK25" i="13"/>
  <c r="AJ25" i="13"/>
  <c r="AI25" i="13"/>
  <c r="AH25" i="13"/>
  <c r="AG25" i="13"/>
  <c r="AF25" i="13"/>
  <c r="AE25" i="13"/>
  <c r="AD25" i="13"/>
  <c r="AC25" i="13"/>
  <c r="AB25" i="13"/>
  <c r="AA25" i="13"/>
  <c r="Z25" i="13"/>
  <c r="Y25" i="13"/>
  <c r="X25" i="13"/>
  <c r="W25" i="13"/>
  <c r="V25" i="13"/>
  <c r="U25" i="13"/>
  <c r="T25" i="13"/>
  <c r="S25" i="13"/>
  <c r="R25" i="13"/>
  <c r="Q25" i="13"/>
  <c r="P25" i="13"/>
  <c r="O25" i="13"/>
  <c r="N25" i="13"/>
  <c r="M25" i="13"/>
  <c r="L25" i="13"/>
  <c r="K25" i="13"/>
  <c r="J25" i="13"/>
  <c r="I25" i="13"/>
  <c r="H25" i="13"/>
  <c r="G25" i="13"/>
  <c r="F25" i="13"/>
  <c r="E25" i="13"/>
  <c r="DC24" i="13"/>
  <c r="DB24" i="13"/>
  <c r="DA24" i="13"/>
  <c r="CZ24" i="13"/>
  <c r="CY24" i="13"/>
  <c r="CX24" i="13"/>
  <c r="CW24" i="13"/>
  <c r="CV24" i="13"/>
  <c r="CU24" i="13"/>
  <c r="CT24" i="13"/>
  <c r="BU24" i="13"/>
  <c r="BT24" i="13"/>
  <c r="BS24" i="13"/>
  <c r="BR24" i="13"/>
  <c r="BQ24" i="13"/>
  <c r="BP24" i="13"/>
  <c r="BO24" i="13"/>
  <c r="BN24" i="13"/>
  <c r="BM24" i="13"/>
  <c r="BL24" i="13"/>
  <c r="BK24" i="13"/>
  <c r="BJ24" i="13"/>
  <c r="BI24" i="13"/>
  <c r="BH24" i="13"/>
  <c r="BG24" i="13"/>
  <c r="BF24" i="13"/>
  <c r="BE24" i="13"/>
  <c r="BD24" i="13"/>
  <c r="BC24" i="13"/>
  <c r="BB24" i="13"/>
  <c r="BA24" i="13"/>
  <c r="AZ24" i="13"/>
  <c r="AY24" i="13"/>
  <c r="AX24" i="13"/>
  <c r="AK24" i="13"/>
  <c r="AJ24" i="13"/>
  <c r="AI24" i="13"/>
  <c r="AH24" i="13"/>
  <c r="AG24" i="13"/>
  <c r="AF24" i="13"/>
  <c r="AE24" i="13"/>
  <c r="AD24" i="13"/>
  <c r="AC24" i="13"/>
  <c r="AB24" i="13"/>
  <c r="AA24" i="13"/>
  <c r="Z24" i="13"/>
  <c r="Y24" i="13"/>
  <c r="X24" i="13"/>
  <c r="W24" i="13"/>
  <c r="V24" i="13"/>
  <c r="U24" i="13"/>
  <c r="T24" i="13"/>
  <c r="S24" i="13"/>
  <c r="R24" i="13"/>
  <c r="Q24" i="13"/>
  <c r="P24" i="13"/>
  <c r="O24" i="13"/>
  <c r="N24" i="13"/>
  <c r="M24" i="13"/>
  <c r="L24" i="13"/>
  <c r="K24" i="13"/>
  <c r="J24" i="13"/>
  <c r="I24" i="13"/>
  <c r="H24" i="13"/>
  <c r="G24" i="13"/>
  <c r="F24" i="13"/>
  <c r="E24" i="13"/>
  <c r="DC23" i="13"/>
  <c r="DB23" i="13"/>
  <c r="DA23" i="13"/>
  <c r="CZ23" i="13"/>
  <c r="CY23" i="13"/>
  <c r="CX23" i="13"/>
  <c r="CW23" i="13"/>
  <c r="CV23" i="13"/>
  <c r="CU23" i="13"/>
  <c r="CT23" i="13"/>
  <c r="BU23" i="13"/>
  <c r="BT23" i="13"/>
  <c r="BS23" i="13"/>
  <c r="BR23" i="13"/>
  <c r="BQ23" i="13"/>
  <c r="BP23" i="13"/>
  <c r="BO23" i="13"/>
  <c r="BN23" i="13"/>
  <c r="BM23" i="13"/>
  <c r="BL23" i="13"/>
  <c r="BK23" i="13"/>
  <c r="BJ23" i="13"/>
  <c r="BI23" i="13"/>
  <c r="BH23" i="13"/>
  <c r="BG23" i="13"/>
  <c r="BF23" i="13"/>
  <c r="BE23" i="13"/>
  <c r="BD23" i="13"/>
  <c r="BC23" i="13"/>
  <c r="BB23" i="13"/>
  <c r="BA23" i="13"/>
  <c r="AZ23" i="13"/>
  <c r="AY23" i="13"/>
  <c r="AX23" i="13"/>
  <c r="AK23" i="13"/>
  <c r="AJ23" i="13"/>
  <c r="AI23" i="13"/>
  <c r="AH23" i="13"/>
  <c r="AG23" i="13"/>
  <c r="AF23" i="13"/>
  <c r="AE23" i="13"/>
  <c r="AD23" i="13"/>
  <c r="AC23" i="13"/>
  <c r="AB23" i="13"/>
  <c r="AA23" i="13"/>
  <c r="Z23" i="13"/>
  <c r="Y23" i="13"/>
  <c r="X23" i="13"/>
  <c r="W23" i="13"/>
  <c r="V23" i="13"/>
  <c r="U23" i="13"/>
  <c r="T23" i="13"/>
  <c r="S23" i="13"/>
  <c r="R23" i="13"/>
  <c r="Q23" i="13"/>
  <c r="P23" i="13"/>
  <c r="O23" i="13"/>
  <c r="N23" i="13"/>
  <c r="M23" i="13"/>
  <c r="L23" i="13"/>
  <c r="K23" i="13"/>
  <c r="J23" i="13"/>
  <c r="I23" i="13"/>
  <c r="H23" i="13"/>
  <c r="G23" i="13"/>
  <c r="F23" i="13"/>
  <c r="E23" i="13"/>
  <c r="DC22" i="13"/>
  <c r="DB22" i="13"/>
  <c r="DA22" i="13"/>
  <c r="CZ22" i="13"/>
  <c r="CY22" i="13"/>
  <c r="CX22" i="13"/>
  <c r="CW22" i="13"/>
  <c r="CV22" i="13"/>
  <c r="CU22" i="13"/>
  <c r="CT22" i="13"/>
  <c r="BU22" i="13"/>
  <c r="BT22" i="13"/>
  <c r="BS22" i="13"/>
  <c r="BR22" i="13"/>
  <c r="BQ22" i="13"/>
  <c r="BP22" i="13"/>
  <c r="BO22" i="13"/>
  <c r="BN22" i="13"/>
  <c r="BM22" i="13"/>
  <c r="BL22" i="13"/>
  <c r="BK22" i="13"/>
  <c r="BJ22" i="13"/>
  <c r="BI22" i="13"/>
  <c r="BH22" i="13"/>
  <c r="BG22" i="13"/>
  <c r="BF22" i="13"/>
  <c r="BE22" i="13"/>
  <c r="BD22" i="13"/>
  <c r="BC22" i="13"/>
  <c r="BB22" i="13"/>
  <c r="BA22" i="13"/>
  <c r="AZ22" i="13"/>
  <c r="AY22" i="13"/>
  <c r="AX22" i="13"/>
  <c r="AK22" i="13"/>
  <c r="AJ22" i="13"/>
  <c r="AI22" i="13"/>
  <c r="AH22" i="13"/>
  <c r="AG22" i="13"/>
  <c r="AF22" i="13"/>
  <c r="AE22" i="13"/>
  <c r="AD22" i="13"/>
  <c r="AC22" i="13"/>
  <c r="AB22" i="13"/>
  <c r="AA22" i="13"/>
  <c r="Z22" i="13"/>
  <c r="Y22" i="13"/>
  <c r="X22" i="13"/>
  <c r="W22" i="13"/>
  <c r="V22" i="13"/>
  <c r="U22" i="13"/>
  <c r="T22" i="13"/>
  <c r="S22" i="13"/>
  <c r="R22" i="13"/>
  <c r="Q22" i="13"/>
  <c r="P22" i="13"/>
  <c r="O22" i="13"/>
  <c r="N22" i="13"/>
  <c r="M22" i="13"/>
  <c r="L22" i="13"/>
  <c r="K22" i="13"/>
  <c r="J22" i="13"/>
  <c r="I22" i="13"/>
  <c r="H22" i="13"/>
  <c r="G22" i="13"/>
  <c r="F22" i="13"/>
  <c r="E22" i="13"/>
  <c r="DC21" i="13"/>
  <c r="DB21" i="13"/>
  <c r="DA21" i="13"/>
  <c r="CZ21" i="13"/>
  <c r="CY21" i="13"/>
  <c r="CX21" i="13"/>
  <c r="CW21" i="13"/>
  <c r="CV21" i="13"/>
  <c r="CU21" i="13"/>
  <c r="CT21" i="13"/>
  <c r="BU21" i="13"/>
  <c r="BT21" i="13"/>
  <c r="BS21" i="13"/>
  <c r="BR21" i="13"/>
  <c r="BQ21" i="13"/>
  <c r="BP21" i="13"/>
  <c r="BO21" i="13"/>
  <c r="BN21" i="13"/>
  <c r="BM21" i="13"/>
  <c r="BL21" i="13"/>
  <c r="BK21" i="13"/>
  <c r="BJ21" i="13"/>
  <c r="BI21" i="13"/>
  <c r="BH21" i="13"/>
  <c r="BG21" i="13"/>
  <c r="BF21" i="13"/>
  <c r="BE21" i="13"/>
  <c r="BD21" i="13"/>
  <c r="BC21" i="13"/>
  <c r="BB21" i="13"/>
  <c r="BA21" i="13"/>
  <c r="AZ21" i="13"/>
  <c r="AY21" i="13"/>
  <c r="AX21" i="13"/>
  <c r="AK21" i="13"/>
  <c r="AJ21" i="13"/>
  <c r="AI21" i="13"/>
  <c r="AH21" i="13"/>
  <c r="AG21" i="13"/>
  <c r="AF21" i="13"/>
  <c r="AE21" i="13"/>
  <c r="AD21" i="13"/>
  <c r="AC21" i="13"/>
  <c r="AB21" i="13"/>
  <c r="AA21" i="13"/>
  <c r="Z21" i="13"/>
  <c r="Y21" i="13"/>
  <c r="X21" i="13"/>
  <c r="W21" i="13"/>
  <c r="V21" i="13"/>
  <c r="U21" i="13"/>
  <c r="T21" i="13"/>
  <c r="S21" i="13"/>
  <c r="R21" i="13"/>
  <c r="Q21" i="13"/>
  <c r="P21" i="13"/>
  <c r="O21" i="13"/>
  <c r="N21" i="13"/>
  <c r="M21" i="13"/>
  <c r="L21" i="13"/>
  <c r="K21" i="13"/>
  <c r="J21" i="13"/>
  <c r="I21" i="13"/>
  <c r="H21" i="13"/>
  <c r="G21" i="13"/>
  <c r="F21" i="13"/>
  <c r="E21" i="13"/>
  <c r="DC20" i="13"/>
  <c r="DB20" i="13"/>
  <c r="DA20" i="13"/>
  <c r="CZ20" i="13"/>
  <c r="CY20" i="13"/>
  <c r="CX20" i="13"/>
  <c r="CW20" i="13"/>
  <c r="CV20" i="13"/>
  <c r="CU20" i="13"/>
  <c r="CT20" i="13"/>
  <c r="BU20" i="13"/>
  <c r="BT20" i="13"/>
  <c r="BS20" i="13"/>
  <c r="BR20" i="13"/>
  <c r="BQ20" i="13"/>
  <c r="BP20" i="13"/>
  <c r="BO20" i="13"/>
  <c r="BN20" i="13"/>
  <c r="BM20" i="13"/>
  <c r="BL20" i="13"/>
  <c r="BK20" i="13"/>
  <c r="BJ20" i="13"/>
  <c r="BI20" i="13"/>
  <c r="BH20" i="13"/>
  <c r="BG20" i="13"/>
  <c r="BF20" i="13"/>
  <c r="BE20" i="13"/>
  <c r="BD20" i="13"/>
  <c r="BC20" i="13"/>
  <c r="BB20" i="13"/>
  <c r="BA20" i="13"/>
  <c r="AZ20" i="13"/>
  <c r="AY20" i="13"/>
  <c r="AX20" i="13"/>
  <c r="AK20" i="13"/>
  <c r="AJ20" i="13"/>
  <c r="AI20" i="13"/>
  <c r="AH20" i="13"/>
  <c r="AG20" i="13"/>
  <c r="AF20" i="13"/>
  <c r="AE20" i="13"/>
  <c r="AD20" i="13"/>
  <c r="AC20" i="13"/>
  <c r="AB20" i="13"/>
  <c r="AA20" i="13"/>
  <c r="Z20" i="13"/>
  <c r="Y20" i="13"/>
  <c r="X20" i="13"/>
  <c r="W20" i="13"/>
  <c r="V20" i="13"/>
  <c r="U20" i="13"/>
  <c r="T20" i="13"/>
  <c r="S20" i="13"/>
  <c r="R20" i="13"/>
  <c r="Q20" i="13"/>
  <c r="P20" i="13"/>
  <c r="O20" i="13"/>
  <c r="N20" i="13"/>
  <c r="M20" i="13"/>
  <c r="L20" i="13"/>
  <c r="K20" i="13"/>
  <c r="J20" i="13"/>
  <c r="I20" i="13"/>
  <c r="H20" i="13"/>
  <c r="G20" i="13"/>
  <c r="F20" i="13"/>
  <c r="E20" i="13"/>
  <c r="DC19" i="13"/>
  <c r="DB19" i="13"/>
  <c r="DA19" i="13"/>
  <c r="CZ19" i="13"/>
  <c r="CY19" i="13"/>
  <c r="CX19" i="13"/>
  <c r="CW19" i="13"/>
  <c r="CV19" i="13"/>
  <c r="CU19" i="13"/>
  <c r="CT19" i="13"/>
  <c r="BU19" i="13"/>
  <c r="BT19" i="13"/>
  <c r="BS19" i="13"/>
  <c r="BR19" i="13"/>
  <c r="BQ19" i="13"/>
  <c r="BP19" i="13"/>
  <c r="BO19" i="13"/>
  <c r="BN19" i="13"/>
  <c r="BM19" i="13"/>
  <c r="BL19" i="13"/>
  <c r="BK19" i="13"/>
  <c r="BJ19" i="13"/>
  <c r="BI19" i="13"/>
  <c r="BH19" i="13"/>
  <c r="BG19" i="13"/>
  <c r="BF19" i="13"/>
  <c r="BE19" i="13"/>
  <c r="BD19" i="13"/>
  <c r="BC19" i="13"/>
  <c r="BB19" i="13"/>
  <c r="BA19" i="13"/>
  <c r="AZ19" i="13"/>
  <c r="AY19" i="13"/>
  <c r="AX19" i="13"/>
  <c r="AK19" i="13"/>
  <c r="AJ19" i="13"/>
  <c r="AI19" i="13"/>
  <c r="AH19" i="13"/>
  <c r="AG19" i="13"/>
  <c r="AF19" i="13"/>
  <c r="AE19" i="13"/>
  <c r="AD19" i="13"/>
  <c r="AC19" i="13"/>
  <c r="AB19" i="13"/>
  <c r="AA19" i="13"/>
  <c r="Z19" i="13"/>
  <c r="Y19" i="13"/>
  <c r="X19" i="13"/>
  <c r="W19" i="13"/>
  <c r="V19" i="13"/>
  <c r="U19" i="13"/>
  <c r="T19" i="13"/>
  <c r="S19" i="13"/>
  <c r="R19" i="13"/>
  <c r="Q19" i="13"/>
  <c r="P19" i="13"/>
  <c r="O19" i="13"/>
  <c r="N19" i="13"/>
  <c r="M19" i="13"/>
  <c r="L19" i="13"/>
  <c r="K19" i="13"/>
  <c r="J19" i="13"/>
  <c r="I19" i="13"/>
  <c r="H19" i="13"/>
  <c r="G19" i="13"/>
  <c r="F19" i="13"/>
  <c r="E19" i="13"/>
  <c r="DC18" i="13"/>
  <c r="DB18" i="13"/>
  <c r="DA18" i="13"/>
  <c r="CZ18" i="13"/>
  <c r="CY18" i="13"/>
  <c r="CX18" i="13"/>
  <c r="CW18" i="13"/>
  <c r="CV18" i="13"/>
  <c r="CU18" i="13"/>
  <c r="CT18" i="13"/>
  <c r="BU18" i="13"/>
  <c r="BT18" i="13"/>
  <c r="BS18" i="13"/>
  <c r="BR18" i="13"/>
  <c r="BQ18" i="13"/>
  <c r="BP18" i="13"/>
  <c r="BO18" i="13"/>
  <c r="BN18" i="13"/>
  <c r="BM18" i="13"/>
  <c r="BL18" i="13"/>
  <c r="BK18" i="13"/>
  <c r="BJ18" i="13"/>
  <c r="BI18" i="13"/>
  <c r="BH18" i="13"/>
  <c r="BG18" i="13"/>
  <c r="BF18" i="13"/>
  <c r="BE18" i="13"/>
  <c r="BD18" i="13"/>
  <c r="BC18" i="13"/>
  <c r="BB18" i="13"/>
  <c r="BA18" i="13"/>
  <c r="AZ18" i="13"/>
  <c r="AY18" i="13"/>
  <c r="AX18" i="13"/>
  <c r="AK18" i="13"/>
  <c r="AJ18" i="13"/>
  <c r="AI18" i="13"/>
  <c r="AH18" i="13"/>
  <c r="AG18" i="13"/>
  <c r="AF18" i="13"/>
  <c r="AE18" i="13"/>
  <c r="AD18" i="13"/>
  <c r="AC18" i="13"/>
  <c r="AB18" i="13"/>
  <c r="AA18" i="13"/>
  <c r="Z18" i="13"/>
  <c r="Y18" i="13"/>
  <c r="X18" i="13"/>
  <c r="W18" i="13"/>
  <c r="V18" i="13"/>
  <c r="U18" i="13"/>
  <c r="T18" i="13"/>
  <c r="S18" i="13"/>
  <c r="R18" i="13"/>
  <c r="Q18" i="13"/>
  <c r="P18" i="13"/>
  <c r="O18" i="13"/>
  <c r="N18" i="13"/>
  <c r="M18" i="13"/>
  <c r="L18" i="13"/>
  <c r="K18" i="13"/>
  <c r="J18" i="13"/>
  <c r="I18" i="13"/>
  <c r="H18" i="13"/>
  <c r="G18" i="13"/>
  <c r="F18" i="13"/>
  <c r="E18" i="13"/>
  <c r="DC17" i="13"/>
  <c r="DB17" i="13"/>
  <c r="DA17" i="13"/>
  <c r="CZ17" i="13"/>
  <c r="CY17" i="13"/>
  <c r="CX17" i="13"/>
  <c r="CW17" i="13"/>
  <c r="CV17" i="13"/>
  <c r="CU17" i="13"/>
  <c r="CT17" i="13"/>
  <c r="BU17" i="13"/>
  <c r="BT17" i="13"/>
  <c r="BS17" i="13"/>
  <c r="BR17" i="13"/>
  <c r="BQ17" i="13"/>
  <c r="BP17" i="13"/>
  <c r="BO17" i="13"/>
  <c r="BN17" i="13"/>
  <c r="BM17" i="13"/>
  <c r="BL17" i="13"/>
  <c r="BK17" i="13"/>
  <c r="BJ17" i="13"/>
  <c r="BI17" i="13"/>
  <c r="BH17" i="13"/>
  <c r="BG17" i="13"/>
  <c r="BF17" i="13"/>
  <c r="BE17" i="13"/>
  <c r="BD17" i="13"/>
  <c r="BC17" i="13"/>
  <c r="BB17" i="13"/>
  <c r="BA17" i="13"/>
  <c r="AZ17" i="13"/>
  <c r="AY17" i="13"/>
  <c r="AX17" i="13"/>
  <c r="AK17" i="13"/>
  <c r="AJ17" i="13"/>
  <c r="AI17" i="13"/>
  <c r="AH17" i="13"/>
  <c r="AG17" i="13"/>
  <c r="AF17" i="13"/>
  <c r="AE17" i="13"/>
  <c r="AD17" i="13"/>
  <c r="AC17" i="13"/>
  <c r="AB17" i="13"/>
  <c r="AA17" i="13"/>
  <c r="Z17" i="13"/>
  <c r="Y17" i="13"/>
  <c r="X17" i="13"/>
  <c r="W17" i="13"/>
  <c r="V17" i="13"/>
  <c r="U17" i="13"/>
  <c r="T17" i="13"/>
  <c r="S17" i="13"/>
  <c r="R17" i="13"/>
  <c r="Q17" i="13"/>
  <c r="P17" i="13"/>
  <c r="O17" i="13"/>
  <c r="N17" i="13"/>
  <c r="M17" i="13"/>
  <c r="L17" i="13"/>
  <c r="K17" i="13"/>
  <c r="J17" i="13"/>
  <c r="I17" i="13"/>
  <c r="H17" i="13"/>
  <c r="G17" i="13"/>
  <c r="F17" i="13"/>
  <c r="E17" i="13"/>
  <c r="DC16" i="13"/>
  <c r="DB16" i="13"/>
  <c r="DA16" i="13"/>
  <c r="CZ16" i="13"/>
  <c r="CY16" i="13"/>
  <c r="CX16" i="13"/>
  <c r="CW16" i="13"/>
  <c r="CV16" i="13"/>
  <c r="CU16" i="13"/>
  <c r="CT16" i="13"/>
  <c r="BU16" i="13"/>
  <c r="BT16" i="13"/>
  <c r="BS16" i="13"/>
  <c r="BR16" i="13"/>
  <c r="BQ16" i="13"/>
  <c r="BP16" i="13"/>
  <c r="BO16" i="13"/>
  <c r="BN16" i="13"/>
  <c r="BM16" i="13"/>
  <c r="BL16" i="13"/>
  <c r="BK16" i="13"/>
  <c r="BJ16" i="13"/>
  <c r="BI16" i="13"/>
  <c r="BH16" i="13"/>
  <c r="BG16" i="13"/>
  <c r="BF16" i="13"/>
  <c r="BE16" i="13"/>
  <c r="BD16" i="13"/>
  <c r="BC16" i="13"/>
  <c r="BB16" i="13"/>
  <c r="BA16" i="13"/>
  <c r="AZ16" i="13"/>
  <c r="AY16" i="13"/>
  <c r="AX16" i="13"/>
  <c r="AK16" i="13"/>
  <c r="AJ16" i="13"/>
  <c r="AI16" i="13"/>
  <c r="AH16" i="13"/>
  <c r="AG16" i="13"/>
  <c r="AF16" i="13"/>
  <c r="AE16" i="13"/>
  <c r="AD16" i="13"/>
  <c r="AC16" i="13"/>
  <c r="AB16" i="13"/>
  <c r="AA16" i="13"/>
  <c r="Z16" i="13"/>
  <c r="Y16" i="13"/>
  <c r="X16" i="13"/>
  <c r="W16" i="13"/>
  <c r="V16" i="13"/>
  <c r="U16" i="13"/>
  <c r="T16" i="13"/>
  <c r="S16" i="13"/>
  <c r="R16" i="13"/>
  <c r="Q16" i="13"/>
  <c r="P16" i="13"/>
  <c r="O16" i="13"/>
  <c r="N16" i="13"/>
  <c r="M16" i="13"/>
  <c r="L16" i="13"/>
  <c r="K16" i="13"/>
  <c r="J16" i="13"/>
  <c r="I16" i="13"/>
  <c r="H16" i="13"/>
  <c r="G16" i="13"/>
  <c r="F16" i="13"/>
  <c r="E16" i="13"/>
  <c r="DC15" i="13"/>
  <c r="DB15" i="13"/>
  <c r="DA15" i="13"/>
  <c r="CZ15" i="13"/>
  <c r="CY15" i="13"/>
  <c r="CX15" i="13"/>
  <c r="CW15" i="13"/>
  <c r="CV15" i="13"/>
  <c r="CU15" i="13"/>
  <c r="CT15" i="13"/>
  <c r="BU15" i="13"/>
  <c r="BT15" i="13"/>
  <c r="BS15" i="13"/>
  <c r="BR15" i="13"/>
  <c r="BQ15" i="13"/>
  <c r="BP15" i="13"/>
  <c r="BO15" i="13"/>
  <c r="BN15" i="13"/>
  <c r="BM15" i="13"/>
  <c r="BL15" i="13"/>
  <c r="BK15" i="13"/>
  <c r="BJ15" i="13"/>
  <c r="BI15" i="13"/>
  <c r="BH15" i="13"/>
  <c r="BG15" i="13"/>
  <c r="BF15" i="13"/>
  <c r="BE15" i="13"/>
  <c r="BD15" i="13"/>
  <c r="BC15" i="13"/>
  <c r="BB15" i="13"/>
  <c r="BA15" i="13"/>
  <c r="AZ15" i="13"/>
  <c r="AY15" i="13"/>
  <c r="AX15" i="13"/>
  <c r="AK15" i="13"/>
  <c r="AJ15" i="13"/>
  <c r="AI15" i="13"/>
  <c r="AH15" i="13"/>
  <c r="AG15" i="13"/>
  <c r="AF15" i="13"/>
  <c r="AE15" i="13"/>
  <c r="AD15" i="13"/>
  <c r="AC15" i="13"/>
  <c r="AB15" i="13"/>
  <c r="AA15" i="13"/>
  <c r="Z15" i="13"/>
  <c r="Y15" i="13"/>
  <c r="X15" i="13"/>
  <c r="W15" i="13"/>
  <c r="V15" i="13"/>
  <c r="U15" i="13"/>
  <c r="T15" i="13"/>
  <c r="S15" i="13"/>
  <c r="R15" i="13"/>
  <c r="Q15" i="13"/>
  <c r="P15" i="13"/>
  <c r="O15" i="13"/>
  <c r="N15" i="13"/>
  <c r="M15" i="13"/>
  <c r="L15" i="13"/>
  <c r="K15" i="13"/>
  <c r="J15" i="13"/>
  <c r="I15" i="13"/>
  <c r="H15" i="13"/>
  <c r="G15" i="13"/>
  <c r="F15" i="13"/>
  <c r="E15" i="13"/>
  <c r="DC14" i="13"/>
  <c r="DB14" i="13"/>
  <c r="DA14" i="13"/>
  <c r="CZ14" i="13"/>
  <c r="CY14" i="13"/>
  <c r="CX14" i="13"/>
  <c r="CW14" i="13"/>
  <c r="CV14" i="13"/>
  <c r="CU14" i="13"/>
  <c r="CT14" i="13"/>
  <c r="BU14" i="13"/>
  <c r="BT14" i="13"/>
  <c r="BS14" i="13"/>
  <c r="BR14" i="13"/>
  <c r="BQ14" i="13"/>
  <c r="BP14" i="13"/>
  <c r="BO14" i="13"/>
  <c r="BN14" i="13"/>
  <c r="BM14" i="13"/>
  <c r="BL14" i="13"/>
  <c r="BK14" i="13"/>
  <c r="BJ14" i="13"/>
  <c r="BI14" i="13"/>
  <c r="BH14" i="13"/>
  <c r="BG14" i="13"/>
  <c r="BF14" i="13"/>
  <c r="BE14" i="13"/>
  <c r="BD14" i="13"/>
  <c r="BC14" i="13"/>
  <c r="BB14" i="13"/>
  <c r="BA14" i="13"/>
  <c r="AZ14" i="13"/>
  <c r="AY14" i="13"/>
  <c r="AX14" i="13"/>
  <c r="AK14" i="13"/>
  <c r="AJ14" i="13"/>
  <c r="AI14" i="13"/>
  <c r="AH14" i="13"/>
  <c r="AG14" i="13"/>
  <c r="AF14" i="13"/>
  <c r="AE14" i="13"/>
  <c r="AD14" i="13"/>
  <c r="AC14" i="13"/>
  <c r="AB14" i="13"/>
  <c r="AA14" i="13"/>
  <c r="Z14" i="13"/>
  <c r="Y14" i="13"/>
  <c r="X14" i="13"/>
  <c r="W14" i="13"/>
  <c r="V14" i="13"/>
  <c r="U14" i="13"/>
  <c r="T14" i="13"/>
  <c r="S14" i="13"/>
  <c r="R14" i="13"/>
  <c r="Q14" i="13"/>
  <c r="P14" i="13"/>
  <c r="O14" i="13"/>
  <c r="N14" i="13"/>
  <c r="M14" i="13"/>
  <c r="L14" i="13"/>
  <c r="K14" i="13"/>
  <c r="J14" i="13"/>
  <c r="I14" i="13"/>
  <c r="H14" i="13"/>
  <c r="G14" i="13"/>
  <c r="F14" i="13"/>
  <c r="E14" i="13"/>
  <c r="DC13" i="13"/>
  <c r="DB13" i="13"/>
  <c r="DA13" i="13"/>
  <c r="CZ13" i="13"/>
  <c r="CY13" i="13"/>
  <c r="CX13" i="13"/>
  <c r="CW13" i="13"/>
  <c r="CV13" i="13"/>
  <c r="CU13" i="13"/>
  <c r="CT13" i="13"/>
  <c r="BU13" i="13"/>
  <c r="BT13" i="13"/>
  <c r="BS13" i="13"/>
  <c r="BR13" i="13"/>
  <c r="BQ13" i="13"/>
  <c r="BP13" i="13"/>
  <c r="BO13" i="13"/>
  <c r="BN13" i="13"/>
  <c r="BM13" i="13"/>
  <c r="BL13" i="13"/>
  <c r="BK13" i="13"/>
  <c r="BJ13" i="13"/>
  <c r="BI13" i="13"/>
  <c r="BH13" i="13"/>
  <c r="BG13" i="13"/>
  <c r="BF13" i="13"/>
  <c r="BE13" i="13"/>
  <c r="BD13" i="13"/>
  <c r="BC13" i="13"/>
  <c r="BB13" i="13"/>
  <c r="BA13" i="13"/>
  <c r="AZ13" i="13"/>
  <c r="AY13" i="13"/>
  <c r="AX13" i="13"/>
  <c r="AK13" i="13"/>
  <c r="AJ13" i="13"/>
  <c r="AI13" i="13"/>
  <c r="AH13" i="13"/>
  <c r="AG13" i="13"/>
  <c r="AF13" i="13"/>
  <c r="AE13" i="13"/>
  <c r="AD13" i="13"/>
  <c r="AC13" i="13"/>
  <c r="AB13" i="13"/>
  <c r="AA13" i="13"/>
  <c r="Z13" i="13"/>
  <c r="Y13" i="13"/>
  <c r="X13" i="13"/>
  <c r="W13" i="13"/>
  <c r="V13" i="13"/>
  <c r="U13" i="13"/>
  <c r="T13" i="13"/>
  <c r="S13" i="13"/>
  <c r="R13" i="13"/>
  <c r="Q13" i="13"/>
  <c r="P13" i="13"/>
  <c r="O13" i="13"/>
  <c r="N13" i="13"/>
  <c r="M13" i="13"/>
  <c r="L13" i="13"/>
  <c r="K13" i="13"/>
  <c r="J13" i="13"/>
  <c r="I13" i="13"/>
  <c r="H13" i="13"/>
  <c r="G13" i="13"/>
  <c r="F13" i="13"/>
  <c r="E13" i="13"/>
  <c r="DC12" i="13"/>
  <c r="DB12" i="13"/>
  <c r="DA12" i="13"/>
  <c r="CZ12" i="13"/>
  <c r="CY12" i="13"/>
  <c r="CX12" i="13"/>
  <c r="CW12" i="13"/>
  <c r="CV12" i="13"/>
  <c r="CU12" i="13"/>
  <c r="CT12" i="13"/>
  <c r="BL12" i="13"/>
  <c r="BK12" i="13"/>
  <c r="BJ12" i="13"/>
  <c r="BI12" i="13"/>
  <c r="BH12" i="13"/>
  <c r="BG12" i="13"/>
  <c r="BF12" i="13"/>
  <c r="BE12" i="13"/>
  <c r="BD12" i="13"/>
  <c r="BC12" i="13"/>
  <c r="BB12" i="13"/>
  <c r="BA12" i="13"/>
  <c r="AZ12" i="13"/>
  <c r="AY12" i="13"/>
  <c r="AX12" i="13"/>
  <c r="AK12" i="13"/>
  <c r="AJ12" i="13"/>
  <c r="AI12" i="13"/>
  <c r="AH12" i="13"/>
  <c r="AG12" i="13"/>
  <c r="AF12" i="13"/>
  <c r="AE12" i="13"/>
  <c r="AD12" i="13"/>
  <c r="AC12" i="13"/>
  <c r="AB12" i="13"/>
  <c r="AA12" i="13"/>
  <c r="Z12" i="13"/>
  <c r="Y12" i="13"/>
  <c r="X12" i="13"/>
  <c r="W12" i="13"/>
  <c r="V12" i="13"/>
  <c r="U12" i="13"/>
  <c r="T12" i="13"/>
  <c r="S12" i="13"/>
  <c r="R12" i="13"/>
  <c r="Q12" i="13"/>
  <c r="P12" i="13"/>
  <c r="O12" i="13"/>
  <c r="N12" i="13"/>
  <c r="M12" i="13"/>
  <c r="L12" i="13"/>
  <c r="K12" i="13"/>
  <c r="J12" i="13"/>
  <c r="I12" i="13"/>
  <c r="H12" i="13"/>
  <c r="G12" i="13"/>
  <c r="F12" i="13"/>
  <c r="E12" i="13"/>
  <c r="DC11" i="13"/>
  <c r="DB11" i="13"/>
  <c r="DA11" i="13"/>
  <c r="CZ11" i="13"/>
  <c r="CY11" i="13"/>
  <c r="CX11" i="13"/>
  <c r="CW11" i="13"/>
  <c r="CV11" i="13"/>
  <c r="CU11" i="13"/>
  <c r="CT11" i="13"/>
  <c r="BL11" i="13"/>
  <c r="BK11" i="13"/>
  <c r="BJ11" i="13"/>
  <c r="BI11" i="13"/>
  <c r="BH11" i="13"/>
  <c r="BG11" i="13"/>
  <c r="BF11" i="13"/>
  <c r="BE11" i="13"/>
  <c r="BD11" i="13"/>
  <c r="BC11" i="13"/>
  <c r="BB11" i="13"/>
  <c r="BA11" i="13"/>
  <c r="AZ11" i="13"/>
  <c r="AY11" i="13"/>
  <c r="AX11" i="13"/>
  <c r="AK11" i="13"/>
  <c r="AJ11" i="13"/>
  <c r="AI11" i="13"/>
  <c r="AH11" i="13"/>
  <c r="AG11" i="13"/>
  <c r="AF11" i="13"/>
  <c r="AE11" i="13"/>
  <c r="AD11" i="13"/>
  <c r="AC11" i="13"/>
  <c r="AB11" i="13"/>
  <c r="AA11" i="13"/>
  <c r="Z11" i="13"/>
  <c r="Y11" i="13"/>
  <c r="X11" i="13"/>
  <c r="W11" i="13"/>
  <c r="V11" i="13"/>
  <c r="U11" i="13"/>
  <c r="T11" i="13"/>
  <c r="S11" i="13"/>
  <c r="R11" i="13"/>
  <c r="Q11" i="13"/>
  <c r="P11" i="13"/>
  <c r="O11" i="13"/>
  <c r="N11" i="13"/>
  <c r="M11" i="13"/>
  <c r="L11" i="13"/>
  <c r="K11" i="13"/>
  <c r="J11" i="13"/>
  <c r="I11" i="13"/>
  <c r="H11" i="13"/>
  <c r="G11" i="13"/>
  <c r="F11" i="13"/>
  <c r="E11" i="13"/>
  <c r="DC10" i="13"/>
  <c r="DB10" i="13"/>
  <c r="DA10" i="13"/>
  <c r="CZ10" i="13"/>
  <c r="CY10" i="13"/>
  <c r="CX10" i="13"/>
  <c r="CW10" i="13"/>
  <c r="CV10" i="13"/>
  <c r="CU10" i="13"/>
  <c r="CT10" i="13"/>
  <c r="BL10" i="13"/>
  <c r="BK10" i="13"/>
  <c r="BJ10" i="13"/>
  <c r="BI10" i="13"/>
  <c r="BH10" i="13"/>
  <c r="BG10" i="13"/>
  <c r="BF10" i="13"/>
  <c r="BE10" i="13"/>
  <c r="BD10" i="13"/>
  <c r="BC10" i="13"/>
  <c r="BB10" i="13"/>
  <c r="BA10" i="13"/>
  <c r="AZ10" i="13"/>
  <c r="AY10" i="13"/>
  <c r="AX10" i="13"/>
  <c r="AK10" i="13"/>
  <c r="AJ10" i="13"/>
  <c r="AI10" i="13"/>
  <c r="AH10" i="13"/>
  <c r="AG10" i="13"/>
  <c r="AF10" i="13"/>
  <c r="AE10" i="13"/>
  <c r="AD10" i="13"/>
  <c r="AC10" i="13"/>
  <c r="AB10" i="13"/>
  <c r="AA10" i="13"/>
  <c r="Z10" i="13"/>
  <c r="Y10" i="13"/>
  <c r="X10" i="13"/>
  <c r="W10" i="13"/>
  <c r="V10" i="13"/>
  <c r="U10" i="13"/>
  <c r="T10" i="13"/>
  <c r="S10" i="13"/>
  <c r="R10" i="13"/>
  <c r="Q10" i="13"/>
  <c r="P10" i="13"/>
  <c r="O10" i="13"/>
  <c r="N10" i="13"/>
  <c r="M10" i="13"/>
  <c r="L10" i="13"/>
  <c r="K10" i="13"/>
  <c r="J10" i="13"/>
  <c r="I10" i="13"/>
  <c r="H10" i="13"/>
  <c r="G10" i="13"/>
  <c r="F10" i="13"/>
  <c r="E10" i="13"/>
  <c r="DC9" i="13"/>
  <c r="DB9" i="13"/>
  <c r="DA9" i="13"/>
  <c r="CZ9" i="13"/>
  <c r="CY9" i="13"/>
  <c r="CX9" i="13"/>
  <c r="CW9" i="13"/>
  <c r="CV9" i="13"/>
  <c r="CU9" i="13"/>
  <c r="CT9" i="13"/>
  <c r="BL9" i="13"/>
  <c r="BK9" i="13"/>
  <c r="BJ9" i="13"/>
  <c r="BI9" i="13"/>
  <c r="BH9" i="13"/>
  <c r="BG9" i="13"/>
  <c r="BF9" i="13"/>
  <c r="BE9" i="13"/>
  <c r="BD9" i="13"/>
  <c r="BC9" i="13"/>
  <c r="BB9" i="13"/>
  <c r="BA9" i="13"/>
  <c r="AZ9" i="13"/>
  <c r="AY9" i="13"/>
  <c r="AX9" i="13"/>
  <c r="AK9" i="13"/>
  <c r="AJ9" i="13"/>
  <c r="AI9" i="13"/>
  <c r="AH9" i="13"/>
  <c r="AG9" i="13"/>
  <c r="AF9" i="13"/>
  <c r="AE9" i="13"/>
  <c r="AD9" i="13"/>
  <c r="AC9" i="13"/>
  <c r="AB9" i="13"/>
  <c r="AA9" i="13"/>
  <c r="Z9" i="13"/>
  <c r="Y9" i="13"/>
  <c r="X9" i="13"/>
  <c r="W9" i="13"/>
  <c r="V9" i="13"/>
  <c r="U9" i="13"/>
  <c r="T9" i="13"/>
  <c r="S9" i="13"/>
  <c r="R9" i="13"/>
  <c r="Q9" i="13"/>
  <c r="P9" i="13"/>
  <c r="O9" i="13"/>
  <c r="N9" i="13"/>
  <c r="M9" i="13"/>
  <c r="L9" i="13"/>
  <c r="K9" i="13"/>
  <c r="J9" i="13"/>
  <c r="I9" i="13"/>
  <c r="H9" i="13"/>
  <c r="G9" i="13"/>
  <c r="F9" i="13"/>
  <c r="E9" i="13"/>
  <c r="DC8" i="13"/>
  <c r="DB8" i="13"/>
  <c r="DA8" i="13"/>
  <c r="CZ8" i="13"/>
  <c r="CY8" i="13"/>
  <c r="CX8" i="13"/>
  <c r="CW8" i="13"/>
  <c r="CV8" i="13"/>
  <c r="CU8" i="13"/>
  <c r="CT8" i="13"/>
  <c r="BL8" i="13"/>
  <c r="BK8" i="13"/>
  <c r="BJ8" i="13"/>
  <c r="BI8" i="13"/>
  <c r="BH8" i="13"/>
  <c r="BG8" i="13"/>
  <c r="BF8" i="13"/>
  <c r="BE8" i="13"/>
  <c r="BD8" i="13"/>
  <c r="BC8" i="13"/>
  <c r="BB8" i="13"/>
  <c r="BA8" i="13"/>
  <c r="AZ8" i="13"/>
  <c r="AY8" i="13"/>
  <c r="AX8" i="13"/>
  <c r="AK8" i="13"/>
  <c r="AJ8" i="13"/>
  <c r="AI8" i="13"/>
  <c r="AH8" i="13"/>
  <c r="AG8" i="13"/>
  <c r="AF8" i="13"/>
  <c r="AE8" i="13"/>
  <c r="AD8" i="13"/>
  <c r="AC8" i="13"/>
  <c r="AB8" i="13"/>
  <c r="AA8" i="13"/>
  <c r="Z8" i="13"/>
  <c r="Y8" i="13"/>
  <c r="X8" i="13"/>
  <c r="W8" i="13"/>
  <c r="V8" i="13"/>
  <c r="U8" i="13"/>
  <c r="T8" i="13"/>
  <c r="S8" i="13"/>
  <c r="R8" i="13"/>
  <c r="Q8" i="13"/>
  <c r="P8" i="13"/>
  <c r="O8" i="13"/>
  <c r="N8" i="13"/>
  <c r="M8" i="13"/>
  <c r="L8" i="13"/>
  <c r="K8" i="13"/>
  <c r="J8" i="13"/>
  <c r="I8" i="13"/>
  <c r="H8" i="13"/>
  <c r="G8" i="13"/>
  <c r="F8" i="13"/>
  <c r="E8" i="13"/>
  <c r="DC7" i="13"/>
  <c r="DB7" i="13"/>
  <c r="DA7" i="13"/>
  <c r="CZ7" i="13"/>
  <c r="CY7" i="13"/>
  <c r="CX7" i="13"/>
  <c r="CW7" i="13"/>
  <c r="CV7" i="13"/>
  <c r="CU7" i="13"/>
  <c r="CT7" i="13"/>
  <c r="BL7" i="13"/>
  <c r="BK7" i="13"/>
  <c r="BJ7" i="13"/>
  <c r="BI7" i="13"/>
  <c r="BH7" i="13"/>
  <c r="BG7" i="13"/>
  <c r="BF7" i="13"/>
  <c r="BE7" i="13"/>
  <c r="BD7" i="13"/>
  <c r="BC7" i="13"/>
  <c r="BB7" i="13"/>
  <c r="BA7" i="13"/>
  <c r="AZ7" i="13"/>
  <c r="AY7" i="13"/>
  <c r="AX7" i="13"/>
  <c r="AK7" i="13"/>
  <c r="AJ7" i="13"/>
  <c r="AI7" i="13"/>
  <c r="AH7" i="13"/>
  <c r="AG7" i="13"/>
  <c r="AF7" i="13"/>
  <c r="AE7" i="13"/>
  <c r="AD7" i="13"/>
  <c r="AC7" i="13"/>
  <c r="AB7" i="13"/>
  <c r="AA7" i="13"/>
  <c r="Z7" i="13"/>
  <c r="Y7" i="13"/>
  <c r="X7" i="13"/>
  <c r="W7" i="13"/>
  <c r="V7" i="13"/>
  <c r="U7" i="13"/>
  <c r="T7" i="13"/>
  <c r="S7" i="13"/>
  <c r="R7" i="13"/>
  <c r="Q7" i="13"/>
  <c r="P7" i="13"/>
  <c r="O7" i="13"/>
  <c r="N7" i="13"/>
  <c r="M7" i="13"/>
  <c r="L7" i="13"/>
  <c r="K7" i="13"/>
  <c r="J7" i="13"/>
  <c r="I7" i="13"/>
  <c r="H7" i="13"/>
  <c r="G7" i="13"/>
  <c r="F7" i="13"/>
  <c r="E7" i="13"/>
  <c r="C90" i="11"/>
  <c r="C87" i="11"/>
  <c r="C77" i="11"/>
  <c r="C74" i="11"/>
  <c r="C71" i="11"/>
  <c r="C68" i="11"/>
  <c r="C52" i="11"/>
  <c r="C49" i="11"/>
  <c r="F120" i="11"/>
  <c r="F119" i="11"/>
  <c r="F114" i="11"/>
  <c r="E53" i="13"/>
  <c r="E52" i="13"/>
  <c r="Q53" i="13"/>
  <c r="Q52" i="13"/>
  <c r="H41" i="9"/>
  <c r="H40" i="9"/>
  <c r="H39" i="9"/>
  <c r="C88" i="8" s="1"/>
  <c r="H38" i="9"/>
  <c r="CV8" i="10"/>
  <c r="CV7" i="10"/>
  <c r="CV6" i="10"/>
  <c r="D44" i="14"/>
  <c r="C44" i="14"/>
  <c r="D43" i="14"/>
  <c r="C43" i="14"/>
  <c r="D42" i="14"/>
  <c r="C42" i="14"/>
  <c r="D41" i="14"/>
  <c r="C41" i="14"/>
  <c r="D40" i="14"/>
  <c r="C40" i="14"/>
  <c r="D39" i="14"/>
  <c r="C39" i="14"/>
  <c r="D38" i="14"/>
  <c r="C38" i="14"/>
  <c r="D37" i="14"/>
  <c r="C37" i="14"/>
  <c r="D36" i="14"/>
  <c r="C36" i="14"/>
  <c r="D35" i="14"/>
  <c r="C35" i="14"/>
  <c r="D34" i="14"/>
  <c r="C34" i="14"/>
  <c r="D33" i="14"/>
  <c r="C33" i="14"/>
  <c r="D32" i="14"/>
  <c r="C32" i="14"/>
  <c r="D31" i="14"/>
  <c r="C31" i="14"/>
  <c r="D30" i="14"/>
  <c r="C30" i="14"/>
  <c r="D29" i="14"/>
  <c r="C29" i="14"/>
  <c r="D28" i="14"/>
  <c r="C28" i="14"/>
  <c r="D27" i="14"/>
  <c r="C27" i="14"/>
  <c r="D26" i="14"/>
  <c r="C26" i="14"/>
  <c r="D25" i="14"/>
  <c r="C25" i="14"/>
  <c r="D24" i="14"/>
  <c r="C24" i="14"/>
  <c r="D23" i="14"/>
  <c r="C23" i="14"/>
  <c r="D22" i="14"/>
  <c r="C22" i="14"/>
  <c r="D21" i="14"/>
  <c r="C21" i="14"/>
  <c r="D20" i="14"/>
  <c r="C20" i="14"/>
  <c r="D19" i="14"/>
  <c r="C19" i="14"/>
  <c r="D18" i="14"/>
  <c r="C18" i="14"/>
  <c r="D17" i="14"/>
  <c r="C17" i="14"/>
  <c r="D16" i="14"/>
  <c r="C16" i="14"/>
  <c r="D15" i="14"/>
  <c r="C15" i="14"/>
  <c r="D14" i="14"/>
  <c r="C14" i="14"/>
  <c r="D13" i="14"/>
  <c r="C13" i="14"/>
  <c r="D12" i="14"/>
  <c r="C12" i="14"/>
  <c r="D11" i="14"/>
  <c r="C11" i="14"/>
  <c r="D10" i="14"/>
  <c r="C10" i="14"/>
  <c r="D9" i="14"/>
  <c r="C9" i="14"/>
  <c r="D8" i="14"/>
  <c r="C8" i="14"/>
  <c r="D7" i="14"/>
  <c r="C7" i="14"/>
  <c r="D6" i="14"/>
  <c r="C6" i="14"/>
  <c r="D5" i="14"/>
  <c r="C5" i="14"/>
  <c r="BU3" i="14"/>
  <c r="BT3" i="14"/>
  <c r="BS3" i="14"/>
  <c r="BR3" i="14"/>
  <c r="BQ3" i="14"/>
  <c r="BM3" i="14"/>
  <c r="BJ3" i="14"/>
  <c r="BG3" i="14"/>
  <c r="BD3" i="14"/>
  <c r="BA3" i="14"/>
  <c r="AX3" i="14"/>
  <c r="AU3" i="14"/>
  <c r="AR3" i="14"/>
  <c r="AO3" i="14"/>
  <c r="AL3" i="14"/>
  <c r="AI3" i="14"/>
  <c r="AF3" i="14"/>
  <c r="AC3" i="14"/>
  <c r="Z3" i="14"/>
  <c r="W3" i="14"/>
  <c r="T3" i="14"/>
  <c r="Q3" i="14"/>
  <c r="N3" i="14"/>
  <c r="K3" i="14"/>
  <c r="H3" i="14"/>
  <c r="E3" i="14"/>
  <c r="Q48" i="13"/>
  <c r="B3" i="13"/>
  <c r="B2" i="13"/>
  <c r="D46" i="13"/>
  <c r="C46" i="13"/>
  <c r="D45" i="13"/>
  <c r="C45" i="13"/>
  <c r="D44" i="13"/>
  <c r="C44" i="13"/>
  <c r="D43" i="13"/>
  <c r="C43" i="13"/>
  <c r="D42" i="13"/>
  <c r="C42" i="13"/>
  <c r="D41" i="13"/>
  <c r="C41" i="13"/>
  <c r="D40" i="13"/>
  <c r="C40" i="13"/>
  <c r="D39" i="13"/>
  <c r="C39" i="13"/>
  <c r="D38" i="13"/>
  <c r="C38" i="13"/>
  <c r="D37" i="13"/>
  <c r="C37" i="13"/>
  <c r="D36" i="13"/>
  <c r="C36" i="13"/>
  <c r="D35" i="13"/>
  <c r="C35" i="13"/>
  <c r="D34" i="13"/>
  <c r="C34" i="13"/>
  <c r="D33" i="13"/>
  <c r="C33" i="13"/>
  <c r="D32" i="13"/>
  <c r="C32" i="13"/>
  <c r="D31" i="13"/>
  <c r="C31" i="13"/>
  <c r="D30" i="13"/>
  <c r="C30" i="13"/>
  <c r="D29" i="13"/>
  <c r="C29" i="13"/>
  <c r="D28" i="13"/>
  <c r="C28" i="13"/>
  <c r="D27" i="13"/>
  <c r="C27" i="13"/>
  <c r="D26" i="13"/>
  <c r="C26" i="13"/>
  <c r="D25" i="13"/>
  <c r="C25" i="13"/>
  <c r="D24" i="13"/>
  <c r="C24" i="13"/>
  <c r="D23" i="13"/>
  <c r="C23" i="13"/>
  <c r="D22" i="13"/>
  <c r="C22" i="13"/>
  <c r="D21" i="13"/>
  <c r="C21" i="13"/>
  <c r="D20" i="13"/>
  <c r="C20" i="13"/>
  <c r="D19" i="13"/>
  <c r="C19" i="13"/>
  <c r="D18" i="13"/>
  <c r="C18" i="13"/>
  <c r="D17" i="13"/>
  <c r="C17" i="13"/>
  <c r="D16" i="13"/>
  <c r="C16" i="13"/>
  <c r="D15" i="13"/>
  <c r="C15" i="13"/>
  <c r="D14" i="13"/>
  <c r="C14" i="13"/>
  <c r="D13" i="13"/>
  <c r="C13" i="13"/>
  <c r="D12" i="13"/>
  <c r="C12" i="13"/>
  <c r="D11" i="13"/>
  <c r="C11" i="13"/>
  <c r="D10" i="13"/>
  <c r="C10" i="13"/>
  <c r="D9" i="13"/>
  <c r="C9" i="13"/>
  <c r="D8" i="13"/>
  <c r="C8" i="13"/>
  <c r="D7" i="13"/>
  <c r="C7" i="13"/>
  <c r="CT5" i="13"/>
  <c r="BS5" i="13"/>
  <c r="BP5" i="13"/>
  <c r="BM5" i="13"/>
  <c r="BJ5" i="13"/>
  <c r="BG5" i="13"/>
  <c r="BD5" i="13"/>
  <c r="BA5" i="13"/>
  <c r="AX5" i="13"/>
  <c r="AI5" i="13"/>
  <c r="AF5" i="13"/>
  <c r="AC5" i="13"/>
  <c r="Z5" i="13"/>
  <c r="W5" i="13"/>
  <c r="T5" i="13"/>
  <c r="Q5" i="13"/>
  <c r="N5" i="13"/>
  <c r="K5" i="13"/>
  <c r="H5" i="13"/>
  <c r="E5" i="13"/>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33" i="11"/>
  <c r="B134" i="11"/>
  <c r="B135" i="11"/>
  <c r="B136" i="11"/>
  <c r="B137" i="11"/>
  <c r="B138" i="11"/>
  <c r="B139" i="11"/>
  <c r="B132" i="11"/>
  <c r="CK4" i="12"/>
  <c r="CK3" i="10"/>
  <c r="D45" i="12"/>
  <c r="C45" i="12"/>
  <c r="D44" i="12"/>
  <c r="C44" i="12"/>
  <c r="D43" i="12"/>
  <c r="C43" i="12"/>
  <c r="D42" i="12"/>
  <c r="C42" i="12"/>
  <c r="D41" i="12"/>
  <c r="C41" i="12"/>
  <c r="D40" i="12"/>
  <c r="C40" i="12"/>
  <c r="D39" i="12"/>
  <c r="C39" i="12"/>
  <c r="D38" i="12"/>
  <c r="C38" i="12"/>
  <c r="D37" i="12"/>
  <c r="C37" i="12"/>
  <c r="D36" i="12"/>
  <c r="C36" i="12"/>
  <c r="D35" i="12"/>
  <c r="C35" i="12"/>
  <c r="D34" i="12"/>
  <c r="C34" i="12"/>
  <c r="D33" i="12"/>
  <c r="C33" i="12"/>
  <c r="D32" i="12"/>
  <c r="C32" i="12"/>
  <c r="D31" i="12"/>
  <c r="C31" i="12"/>
  <c r="D30" i="12"/>
  <c r="C30" i="12"/>
  <c r="D29" i="12"/>
  <c r="C29" i="12"/>
  <c r="D28" i="12"/>
  <c r="C28" i="12"/>
  <c r="D27" i="12"/>
  <c r="C27" i="12"/>
  <c r="D26" i="12"/>
  <c r="C26" i="12"/>
  <c r="D25" i="12"/>
  <c r="C25" i="12"/>
  <c r="D24" i="12"/>
  <c r="C24" i="12"/>
  <c r="D23" i="12"/>
  <c r="C23" i="12"/>
  <c r="D22" i="12"/>
  <c r="C22" i="12"/>
  <c r="D21" i="12"/>
  <c r="C21" i="12"/>
  <c r="D20" i="12"/>
  <c r="C20" i="12"/>
  <c r="D19" i="12"/>
  <c r="C19" i="12"/>
  <c r="D18" i="12"/>
  <c r="C18" i="12"/>
  <c r="D17" i="12"/>
  <c r="C17" i="12"/>
  <c r="D16" i="12"/>
  <c r="C16" i="12"/>
  <c r="D15" i="12"/>
  <c r="C15" i="12"/>
  <c r="D14" i="12"/>
  <c r="C14" i="12"/>
  <c r="D13" i="12"/>
  <c r="C13" i="12"/>
  <c r="D12" i="12"/>
  <c r="C12" i="12"/>
  <c r="D11" i="12"/>
  <c r="C11" i="12"/>
  <c r="D10" i="12"/>
  <c r="C10" i="12"/>
  <c r="D9" i="12"/>
  <c r="C9" i="12"/>
  <c r="D8" i="12"/>
  <c r="C8" i="12"/>
  <c r="D7" i="12"/>
  <c r="C7" i="12"/>
  <c r="D6" i="12"/>
  <c r="C6" i="12"/>
  <c r="BV4" i="12"/>
  <c r="BS4" i="12"/>
  <c r="BP4" i="12"/>
  <c r="BJ4" i="12"/>
  <c r="BG4" i="12"/>
  <c r="BD4" i="12"/>
  <c r="BA4" i="12"/>
  <c r="AX4" i="12"/>
  <c r="AL4" i="12"/>
  <c r="AI4" i="12"/>
  <c r="AF4" i="12"/>
  <c r="AC4" i="12"/>
  <c r="Z4" i="12"/>
  <c r="W4" i="12"/>
  <c r="T4" i="12"/>
  <c r="Q4" i="12"/>
  <c r="N4" i="12"/>
  <c r="K4" i="12"/>
  <c r="H4" i="12"/>
  <c r="E4" i="12"/>
  <c r="L109" i="11"/>
  <c r="L105" i="11"/>
  <c r="W47" i="3"/>
  <c r="X47" i="3"/>
  <c r="Y47" i="3"/>
  <c r="Z47" i="3"/>
  <c r="O84" i="8"/>
  <c r="C84" i="8"/>
  <c r="L102" i="11"/>
  <c r="L90" i="11"/>
  <c r="L87" i="11"/>
  <c r="L86" i="11"/>
  <c r="L83" i="11"/>
  <c r="L77" i="11"/>
  <c r="L74" i="11"/>
  <c r="L71" i="11"/>
  <c r="L68" i="11"/>
  <c r="L67" i="11"/>
  <c r="L64" i="11"/>
  <c r="L52" i="11"/>
  <c r="L49" i="11"/>
  <c r="L48" i="11"/>
  <c r="L47" i="11"/>
  <c r="L44" i="11"/>
  <c r="C44" i="11"/>
  <c r="L41" i="11"/>
  <c r="C41" i="11"/>
  <c r="L38" i="11"/>
  <c r="C38" i="11"/>
  <c r="L37" i="11"/>
  <c r="L34" i="11"/>
  <c r="C34" i="11"/>
  <c r="L31" i="11"/>
  <c r="C31" i="11"/>
  <c r="L28" i="11"/>
  <c r="C28" i="11"/>
  <c r="L25" i="11"/>
  <c r="C25" i="11"/>
  <c r="L22" i="11"/>
  <c r="C22" i="11"/>
  <c r="L19" i="11"/>
  <c r="C19" i="11"/>
  <c r="L18" i="11"/>
  <c r="L17" i="11"/>
  <c r="L16" i="11"/>
  <c r="L15" i="11"/>
  <c r="G14" i="11"/>
  <c r="D14" i="11"/>
  <c r="G13" i="11"/>
  <c r="D13" i="11"/>
  <c r="D12" i="11"/>
  <c r="O89" i="8"/>
  <c r="O88" i="8"/>
  <c r="O87" i="8"/>
  <c r="O86" i="8"/>
  <c r="O82" i="8"/>
  <c r="O71" i="8"/>
  <c r="O69" i="8"/>
  <c r="O68" i="8"/>
  <c r="O64" i="8"/>
  <c r="O62" i="8"/>
  <c r="O60" i="8"/>
  <c r="O58" i="8"/>
  <c r="O56" i="8"/>
  <c r="O55" i="8"/>
  <c r="O47" i="8"/>
  <c r="O45" i="8"/>
  <c r="O43" i="8"/>
  <c r="O42" i="8"/>
  <c r="O41" i="8"/>
  <c r="O39" i="8"/>
  <c r="O37" i="8"/>
  <c r="O35" i="8"/>
  <c r="O34" i="8"/>
  <c r="O32" i="8"/>
  <c r="O30" i="8"/>
  <c r="O28" i="8"/>
  <c r="O26" i="8"/>
  <c r="O24" i="8"/>
  <c r="O22" i="8"/>
  <c r="O21" i="8"/>
  <c r="O20" i="8"/>
  <c r="O19" i="8"/>
  <c r="O18" i="8"/>
  <c r="O17" i="8"/>
  <c r="O16" i="8"/>
  <c r="O15" i="8"/>
  <c r="C39" i="8"/>
  <c r="I39" i="8" s="1"/>
  <c r="C37" i="8"/>
  <c r="G37" i="8" s="1"/>
  <c r="H37" i="8" s="1"/>
  <c r="C35" i="8"/>
  <c r="I35" i="8" s="1"/>
  <c r="C32" i="8"/>
  <c r="C30" i="8"/>
  <c r="I30" i="8" s="1"/>
  <c r="C28" i="8"/>
  <c r="C29" i="8" s="1"/>
  <c r="C26" i="8"/>
  <c r="G26" i="8" s="1"/>
  <c r="H26" i="8" s="1"/>
  <c r="C24" i="8"/>
  <c r="C22" i="8"/>
  <c r="I22" i="8" s="1"/>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BV3" i="10"/>
  <c r="BS3" i="10"/>
  <c r="BP3" i="10"/>
  <c r="BJ3" i="10"/>
  <c r="BG3" i="10"/>
  <c r="BD3" i="10"/>
  <c r="BA3" i="10"/>
  <c r="AX3" i="10"/>
  <c r="D44" i="10"/>
  <c r="D43" i="10"/>
  <c r="D42" i="10"/>
  <c r="D41" i="10"/>
  <c r="D40" i="10"/>
  <c r="D39" i="10"/>
  <c r="D38" i="10"/>
  <c r="D37" i="10"/>
  <c r="D36" i="10"/>
  <c r="D35" i="10"/>
  <c r="D34" i="10"/>
  <c r="D33" i="10"/>
  <c r="D32" i="10"/>
  <c r="D31" i="10"/>
  <c r="D30" i="10"/>
  <c r="D29" i="10"/>
  <c r="D28" i="10"/>
  <c r="D27" i="10"/>
  <c r="D26" i="10"/>
  <c r="D25" i="10"/>
  <c r="D24" i="10"/>
  <c r="D23" i="10"/>
  <c r="D22" i="10"/>
  <c r="D21" i="10"/>
  <c r="D20" i="10"/>
  <c r="D19" i="10"/>
  <c r="D18" i="10"/>
  <c r="D17" i="10"/>
  <c r="D16" i="10"/>
  <c r="D15" i="10"/>
  <c r="D14" i="10"/>
  <c r="D13" i="10"/>
  <c r="D12" i="10"/>
  <c r="D11" i="10"/>
  <c r="D10" i="10"/>
  <c r="D9" i="10"/>
  <c r="D8" i="10"/>
  <c r="D7" i="10"/>
  <c r="D6" i="10"/>
  <c r="D5" i="10"/>
  <c r="AL3" i="10"/>
  <c r="AI3" i="10"/>
  <c r="AF3" i="10"/>
  <c r="AC3" i="10"/>
  <c r="Z3" i="10"/>
  <c r="W3" i="10"/>
  <c r="T3" i="10"/>
  <c r="Q3" i="10"/>
  <c r="N3" i="10"/>
  <c r="K3" i="10"/>
  <c r="H3" i="10"/>
  <c r="E3" i="10"/>
  <c r="F10" i="7"/>
  <c r="H4" i="9"/>
  <c r="J14" i="7" s="1"/>
  <c r="A16" i="4"/>
  <c r="G41" i="4"/>
  <c r="G40" i="4"/>
  <c r="G39" i="4"/>
  <c r="G38" i="4"/>
  <c r="G37" i="4"/>
  <c r="G36" i="4"/>
  <c r="G35" i="4"/>
  <c r="G34" i="4"/>
  <c r="G33" i="4"/>
  <c r="G32" i="4"/>
  <c r="G31" i="4"/>
  <c r="G30" i="4"/>
  <c r="G29" i="4"/>
  <c r="G28" i="4"/>
  <c r="G27" i="4"/>
  <c r="G26" i="4"/>
  <c r="G25" i="4"/>
  <c r="G24" i="4"/>
  <c r="G23" i="4"/>
  <c r="G22" i="4"/>
  <c r="G21" i="4"/>
  <c r="G20" i="4"/>
  <c r="G19" i="4"/>
  <c r="G18" i="4"/>
  <c r="G17" i="4"/>
  <c r="G16" i="4"/>
  <c r="G15" i="4"/>
  <c r="G14" i="4"/>
  <c r="G13" i="4"/>
  <c r="G12" i="4"/>
  <c r="G11" i="4"/>
  <c r="G10" i="4"/>
  <c r="G9" i="4"/>
  <c r="G8" i="4"/>
  <c r="G7" i="4"/>
  <c r="G6" i="4"/>
  <c r="G5" i="4"/>
  <c r="G4" i="4"/>
  <c r="G3" i="4"/>
  <c r="G2" i="4"/>
  <c r="A15" i="4"/>
  <c r="R47" i="3"/>
  <c r="S47" i="3"/>
  <c r="H104" i="8"/>
  <c r="H103" i="8"/>
  <c r="H98" i="8"/>
  <c r="I14" i="8"/>
  <c r="I13" i="8"/>
  <c r="D12" i="8"/>
  <c r="D13" i="8"/>
  <c r="D14" i="8"/>
  <c r="AC47" i="3"/>
  <c r="AB47" i="3"/>
  <c r="AA47" i="3"/>
  <c r="V47" i="3"/>
  <c r="U47" i="3"/>
  <c r="T47" i="3"/>
  <c r="Q47" i="3"/>
  <c r="P47" i="3"/>
  <c r="O47" i="3"/>
  <c r="N47" i="3"/>
  <c r="M47" i="3"/>
  <c r="L47" i="3"/>
  <c r="K47" i="3"/>
  <c r="J47" i="3"/>
  <c r="I47" i="3"/>
  <c r="H47" i="3"/>
  <c r="G47" i="3"/>
  <c r="F47" i="3"/>
  <c r="D3" i="6"/>
  <c r="J10" i="7" s="1"/>
  <c r="D47" i="3"/>
  <c r="C47" i="3"/>
  <c r="I54" i="3"/>
  <c r="I53" i="3"/>
  <c r="I52" i="3"/>
  <c r="I51" i="3"/>
  <c r="I50" i="3"/>
  <c r="I49" i="3"/>
  <c r="F7" i="7"/>
  <c r="E35" i="5"/>
  <c r="E42" i="5"/>
  <c r="E41" i="5"/>
  <c r="C14" i="1"/>
  <c r="C13" i="1"/>
  <c r="D8" i="1"/>
  <c r="D7" i="1"/>
  <c r="C12" i="1"/>
  <c r="C11" i="1"/>
  <c r="C10" i="1"/>
  <c r="C9" i="1"/>
  <c r="C6" i="1"/>
  <c r="C5" i="1"/>
  <c r="C4" i="1"/>
  <c r="F88" i="8" l="1"/>
  <c r="E88" i="8"/>
  <c r="C63" i="8"/>
  <c r="I62" i="8"/>
  <c r="G62" i="8"/>
  <c r="H62" i="8" s="1"/>
  <c r="E62" i="8"/>
  <c r="F62" i="8" s="1"/>
  <c r="C57" i="8"/>
  <c r="G56" i="8"/>
  <c r="H56" i="8" s="1"/>
  <c r="I56" i="8"/>
  <c r="E56" i="8"/>
  <c r="F56" i="8" s="1"/>
  <c r="G64" i="8"/>
  <c r="H64" i="8" s="1"/>
  <c r="E64" i="8"/>
  <c r="F64" i="8" s="1"/>
  <c r="I64" i="8"/>
  <c r="C59" i="8"/>
  <c r="I58" i="8"/>
  <c r="G58" i="8"/>
  <c r="H58" i="8" s="1"/>
  <c r="E58" i="8"/>
  <c r="F58" i="8" s="1"/>
  <c r="C70" i="8"/>
  <c r="I69" i="8"/>
  <c r="G69" i="8"/>
  <c r="H69" i="8" s="1"/>
  <c r="E69" i="8"/>
  <c r="F69" i="8" s="1"/>
  <c r="I84" i="8"/>
  <c r="G84" i="8"/>
  <c r="H84" i="8" s="1"/>
  <c r="E84" i="8"/>
  <c r="F84" i="8" s="1"/>
  <c r="C61" i="8"/>
  <c r="I60" i="8"/>
  <c r="G60" i="8"/>
  <c r="H60" i="8" s="1"/>
  <c r="E60" i="8"/>
  <c r="F60" i="8" s="1"/>
  <c r="I71" i="8"/>
  <c r="G71" i="8"/>
  <c r="H71" i="8" s="1"/>
  <c r="E71" i="8"/>
  <c r="I24" i="8"/>
  <c r="G24" i="8"/>
  <c r="H24" i="8" s="1"/>
  <c r="C33" i="8"/>
  <c r="G32" i="8"/>
  <c r="H32" i="8" s="1"/>
  <c r="H79" i="8"/>
  <c r="F79" i="8"/>
  <c r="H49" i="8"/>
  <c r="C72" i="8"/>
  <c r="F73" i="8"/>
  <c r="F75" i="8"/>
  <c r="H73" i="8"/>
  <c r="H75" i="8"/>
  <c r="C65" i="8"/>
  <c r="C48" i="8"/>
  <c r="I45" i="8"/>
  <c r="C40" i="8"/>
  <c r="C85" i="8"/>
  <c r="C44" i="8"/>
  <c r="D11" i="11"/>
  <c r="C38" i="8"/>
  <c r="C36" i="8"/>
  <c r="C25" i="8"/>
  <c r="C23" i="8"/>
  <c r="C27" i="8"/>
  <c r="C31" i="8"/>
  <c r="G11" i="11"/>
  <c r="D47" i="13"/>
  <c r="G22" i="8"/>
  <c r="H22" i="8" s="1"/>
  <c r="E22" i="8"/>
  <c r="F22" i="8" s="1"/>
  <c r="E28" i="8"/>
  <c r="F28" i="8" s="1"/>
  <c r="I28" i="8"/>
  <c r="G30" i="8"/>
  <c r="H30" i="8" s="1"/>
  <c r="E32" i="8"/>
  <c r="F32" i="8" s="1"/>
  <c r="I32" i="8"/>
  <c r="G35" i="8"/>
  <c r="H35" i="8" s="1"/>
  <c r="E37" i="8"/>
  <c r="F37" i="8" s="1"/>
  <c r="I37" i="8"/>
  <c r="G39" i="8"/>
  <c r="H39" i="8" s="1"/>
  <c r="E43" i="8"/>
  <c r="F43" i="8" s="1"/>
  <c r="I43" i="8"/>
  <c r="G45" i="8"/>
  <c r="H45" i="8" s="1"/>
  <c r="E47" i="8"/>
  <c r="F47" i="8" s="1"/>
  <c r="I47" i="8"/>
  <c r="E24" i="8"/>
  <c r="F24" i="8" s="1"/>
  <c r="E26" i="8"/>
  <c r="F26" i="8" s="1"/>
  <c r="I26" i="8"/>
  <c r="G28" i="8"/>
  <c r="H28" i="8" s="1"/>
  <c r="E30" i="8"/>
  <c r="F30" i="8" s="1"/>
  <c r="E35" i="8"/>
  <c r="F35" i="8" s="1"/>
  <c r="E39" i="8"/>
  <c r="F39" i="8" s="1"/>
  <c r="E45" i="8"/>
  <c r="F45" i="8" s="1"/>
  <c r="F71" i="8"/>
  <c r="I11" i="8"/>
  <c r="D11" i="8"/>
  <c r="C48" i="3"/>
  <c r="J12" i="7" s="1"/>
</calcChain>
</file>

<file path=xl/comments1.xml><?xml version="1.0" encoding="utf-8"?>
<comments xmlns="http://schemas.openxmlformats.org/spreadsheetml/2006/main">
  <authors>
    <author>Dhee</author>
  </authors>
  <commentList>
    <comment ref="H2" authorId="0" shapeId="0">
      <text>
        <r>
          <rPr>
            <b/>
            <sz val="8"/>
            <color indexed="81"/>
            <rFont val="Tahoma"/>
            <family val="2"/>
          </rPr>
          <t>Yudhination</t>
        </r>
        <r>
          <rPr>
            <sz val="8"/>
            <color indexed="81"/>
            <rFont val="Tahoma"/>
            <family val="2"/>
          </rPr>
          <t xml:space="preserve">
Tambahkan tanda petik tunggal ( ' ) pada awal penulisan tanggal lahir agar format penulisan tanggal tidak berubah !</t>
        </r>
      </text>
    </comment>
    <comment ref="Q2" authorId="0" shapeId="0">
      <text>
        <r>
          <rPr>
            <b/>
            <sz val="8"/>
            <color indexed="81"/>
            <rFont val="Tahoma"/>
            <family val="2"/>
          </rPr>
          <t>Dhee:</t>
        </r>
        <r>
          <rPr>
            <sz val="8"/>
            <color indexed="81"/>
            <rFont val="Tahoma"/>
            <family val="2"/>
          </rPr>
          <t xml:space="preserve">
Tambahkan tanda petik tunggal ( ' ) pada awal penulisan tanggal diterima agar format penulisan tanggal tidak berubah !</t>
        </r>
      </text>
    </comment>
  </commentList>
</comments>
</file>

<file path=xl/sharedStrings.xml><?xml version="1.0" encoding="utf-8"?>
<sst xmlns="http://schemas.openxmlformats.org/spreadsheetml/2006/main" count="4527" uniqueCount="837">
  <si>
    <t xml:space="preserve">Nama Sekolah </t>
  </si>
  <si>
    <t xml:space="preserve">NISN/NSS </t>
  </si>
  <si>
    <t>Alamat Sekolah</t>
  </si>
  <si>
    <t>Kelurahan</t>
  </si>
  <si>
    <t>Kecamatan</t>
  </si>
  <si>
    <t>Kabupaten/Kota</t>
  </si>
  <si>
    <t>Provinsi</t>
  </si>
  <si>
    <t>Website</t>
  </si>
  <si>
    <t>E-mail</t>
  </si>
  <si>
    <t xml:space="preserve">LAPORAN
PENCAPAIAN KOMPETENSI PESERTA DIDIK
SEKOLAH MENENGAH KEJURUAN
(SMK)
</t>
  </si>
  <si>
    <t>:</t>
  </si>
  <si>
    <t>Kode Pos :</t>
  </si>
  <si>
    <t>Telepon :</t>
  </si>
  <si>
    <t>LAPORAN</t>
  </si>
  <si>
    <t>PENCAPAIAN KOMPETENSI PESERTA DIDIK</t>
  </si>
  <si>
    <t>Nama Peserta Didik</t>
  </si>
  <si>
    <t>KEMENTERIAN PENDIDIKAN DAN KEBUDAYAAN</t>
  </si>
  <si>
    <t>REPUBLIK INDONESIA</t>
  </si>
  <si>
    <t>NO</t>
  </si>
  <si>
    <t>NAMA</t>
  </si>
  <si>
    <t>Bidang Studi Keahlian</t>
  </si>
  <si>
    <t>Program Studi Keahlian</t>
  </si>
  <si>
    <t>Kompetensi Keahlian</t>
  </si>
  <si>
    <t>Nama Sekolah</t>
  </si>
  <si>
    <t>NSS</t>
  </si>
  <si>
    <t>Nama Kepala Sekolah</t>
  </si>
  <si>
    <t>NIP Kepala Sekolah</t>
  </si>
  <si>
    <t>NIS</t>
  </si>
  <si>
    <t>JENIS KELAMIN</t>
  </si>
  <si>
    <t>TEMPAT LAHIR</t>
  </si>
  <si>
    <t>TANGGAL LAHIR</t>
  </si>
  <si>
    <t>AGAMA</t>
  </si>
  <si>
    <t>ALAMAT</t>
  </si>
  <si>
    <t>TELP</t>
  </si>
  <si>
    <t>NAMA SEKOLAH ASAL</t>
  </si>
  <si>
    <t>ALAMAT SEKOLAH ASAL</t>
  </si>
  <si>
    <t>TAHUN IJAZAH</t>
  </si>
  <si>
    <t>NOMOR IJASAH</t>
  </si>
  <si>
    <t>DITERIMA DI KELAS</t>
  </si>
  <si>
    <t>TANGGAL DITERIMA</t>
  </si>
  <si>
    <t>NAMA AYAH</t>
  </si>
  <si>
    <t>NAMA IBU</t>
  </si>
  <si>
    <t>ALAMAT ORTU</t>
  </si>
  <si>
    <t>TELP ORTU</t>
  </si>
  <si>
    <t>NAMA WALI</t>
  </si>
  <si>
    <t>ALAMAT WALI</t>
  </si>
  <si>
    <t>TELP WALI</t>
  </si>
  <si>
    <t>PEKERJAAN WALI</t>
  </si>
  <si>
    <t>KETERANGAN TENTANG DIRI PESERTA DIDIK</t>
  </si>
  <si>
    <t>1.</t>
  </si>
  <si>
    <t>2.</t>
  </si>
  <si>
    <t>Nomor Induk Siswa Nasional</t>
  </si>
  <si>
    <t>3.</t>
  </si>
  <si>
    <t>Tempat  Tanggal Lahir</t>
  </si>
  <si>
    <t>4.</t>
  </si>
  <si>
    <t>Jenis Kelamin</t>
  </si>
  <si>
    <t>5.</t>
  </si>
  <si>
    <t>Agama</t>
  </si>
  <si>
    <t>6.</t>
  </si>
  <si>
    <t>Status dalam Keluarga</t>
  </si>
  <si>
    <t>7.</t>
  </si>
  <si>
    <t>Anak ke</t>
  </si>
  <si>
    <t>8.</t>
  </si>
  <si>
    <t>Alamat Peserta Didik</t>
  </si>
  <si>
    <t>9.</t>
  </si>
  <si>
    <t>Nomor Telepon Rumah</t>
  </si>
  <si>
    <t>10.</t>
  </si>
  <si>
    <t>Sekolah Asal</t>
  </si>
  <si>
    <t>11.</t>
  </si>
  <si>
    <t>Diterima di sekolah ini</t>
  </si>
  <si>
    <t>Di kelas</t>
  </si>
  <si>
    <t xml:space="preserve"> </t>
  </si>
  <si>
    <t>Pada tanggal</t>
  </si>
  <si>
    <t xml:space="preserve">12. </t>
  </si>
  <si>
    <t>Nama Orang Tua</t>
  </si>
  <si>
    <t>13.</t>
  </si>
  <si>
    <t xml:space="preserve"> Alamat  Orang Tuua</t>
  </si>
  <si>
    <t>14.</t>
  </si>
  <si>
    <t>Pekerjaan Orang Tua</t>
  </si>
  <si>
    <t>15.</t>
  </si>
  <si>
    <t>Nama Wali Peserta Didik</t>
  </si>
  <si>
    <t>16.</t>
  </si>
  <si>
    <t>Alamat Wali Peserta Didik</t>
  </si>
  <si>
    <t xml:space="preserve">                                                  </t>
  </si>
  <si>
    <t>17.</t>
  </si>
  <si>
    <t>Pekerjaan Wali Peserta Didik</t>
  </si>
  <si>
    <t>a. Ayah</t>
  </si>
  <si>
    <t>b. Ibu</t>
  </si>
  <si>
    <t>Kepala Sekolah,</t>
  </si>
  <si>
    <t>Identitas Sekolah</t>
  </si>
  <si>
    <t>Alamat</t>
  </si>
  <si>
    <t>Propinsi</t>
  </si>
  <si>
    <t>Bidang Sekolah</t>
  </si>
  <si>
    <t>Pejabat</t>
  </si>
  <si>
    <t>Nama Wali Kelas</t>
  </si>
  <si>
    <t>NIP Wali Kelas</t>
  </si>
  <si>
    <t>Raport Aktif</t>
  </si>
  <si>
    <t>Nama Kelas</t>
  </si>
  <si>
    <t>Tingkat Kelas</t>
  </si>
  <si>
    <t>Semester</t>
  </si>
  <si>
    <t>Tahun Pelajaran</t>
  </si>
  <si>
    <t>Tempat dan tanggal raport</t>
  </si>
  <si>
    <t>Informasi Lain</t>
  </si>
  <si>
    <t>Tempat dan tanggal penulisan data peserta didik</t>
  </si>
  <si>
    <t>Kode Pos</t>
  </si>
  <si>
    <t>Telepon</t>
  </si>
  <si>
    <t>E-Mail</t>
  </si>
  <si>
    <t>KURIKULUM 2013</t>
  </si>
  <si>
    <t>Laki-Laki</t>
  </si>
  <si>
    <t>Perempuan</t>
  </si>
  <si>
    <t>Kelengkapan Data :</t>
  </si>
  <si>
    <t>= Lengkap</t>
  </si>
  <si>
    <t>V</t>
  </si>
  <si>
    <t>X</t>
  </si>
  <si>
    <t>Peserta Didik</t>
  </si>
  <si>
    <t>Mata Pelajaran</t>
  </si>
  <si>
    <t>PENGISIAN DATA</t>
  </si>
  <si>
    <t>Informasi Raport</t>
  </si>
  <si>
    <t>Nilai</t>
  </si>
  <si>
    <t>Sampul Identitas Sekolah</t>
  </si>
  <si>
    <t>Keterangan Diri Peserta Didik</t>
  </si>
  <si>
    <t xml:space="preserve"> MATA PELAJARAN</t>
  </si>
  <si>
    <t>Pengetahuan</t>
  </si>
  <si>
    <t>(KI-3)</t>
  </si>
  <si>
    <t>Keterampilan</t>
  </si>
  <si>
    <t>(KI-4)</t>
  </si>
  <si>
    <t>Angka</t>
  </si>
  <si>
    <t>Predikat</t>
  </si>
  <si>
    <t xml:space="preserve">Kesimpulan dari sikap  keseluruhan antarmapel, diputuskan melalui rapat bersama dengan guru mata pelajaran dan wali kelas </t>
  </si>
  <si>
    <t>Prakarya dan Kewirausahaan</t>
  </si>
  <si>
    <t>C1</t>
  </si>
  <si>
    <t>Dasar Bidang Keahlian</t>
  </si>
  <si>
    <t>C2</t>
  </si>
  <si>
    <t>Dasar Program Keahlian</t>
  </si>
  <si>
    <t>C3</t>
  </si>
  <si>
    <t>Paket Keahlian</t>
  </si>
  <si>
    <t xml:space="preserve">Sikap Spiritual dan Sosial </t>
  </si>
  <si>
    <t>(KI-1 dan KI-2)</t>
  </si>
  <si>
    <t>DOKUMEN PRA PENCETAKAN</t>
  </si>
  <si>
    <t xml:space="preserve"> Kelompok A (Wajib)</t>
  </si>
  <si>
    <t xml:space="preserve"> Kelompok B (Wajib)</t>
  </si>
  <si>
    <t xml:space="preserve"> Kelompok C (Peminatan)</t>
  </si>
  <si>
    <t>Nomor Induk</t>
  </si>
  <si>
    <t>Kelas / Semester</t>
  </si>
  <si>
    <t>KELOMPOK</t>
  </si>
  <si>
    <t>Pendidikan Agama dan Budi Pekerti</t>
  </si>
  <si>
    <t>Pendidikan Pancasila dan Kewarganegaraan</t>
  </si>
  <si>
    <t>Bahasa Indonesia</t>
  </si>
  <si>
    <t>Matematika</t>
  </si>
  <si>
    <t>Sejarah Indonesia</t>
  </si>
  <si>
    <t>Bahasa Inggris</t>
  </si>
  <si>
    <t>KKM</t>
  </si>
  <si>
    <t>NAMA GURU</t>
  </si>
  <si>
    <t>Seni Budaya</t>
  </si>
  <si>
    <t>Pendidikan Jasmani, Olah Raga, dan Kesehatan</t>
  </si>
  <si>
    <t>C.1. Dasar Bidang Keahlian</t>
  </si>
  <si>
    <t>C.2. Dasar Program Keahlian</t>
  </si>
  <si>
    <t>C.3. Paket Keahlian</t>
  </si>
  <si>
    <t>SINGKATAN</t>
  </si>
  <si>
    <t>B. Indonesia</t>
  </si>
  <si>
    <t>Sejarah</t>
  </si>
  <si>
    <t>B. Inggris</t>
  </si>
  <si>
    <t>PJOK</t>
  </si>
  <si>
    <t>PKWU</t>
  </si>
  <si>
    <t>Senibud</t>
  </si>
  <si>
    <t>Pengembangan Diri</t>
  </si>
  <si>
    <t>Deskripsi</t>
  </si>
  <si>
    <t>Ketidakhadiran</t>
  </si>
  <si>
    <t>Sakit</t>
  </si>
  <si>
    <t>Tanpa Keterangan</t>
  </si>
  <si>
    <t>Ijin</t>
  </si>
  <si>
    <t>Mengetahui</t>
  </si>
  <si>
    <t>Orang Tua / Wali</t>
  </si>
  <si>
    <t>Wali Kelas</t>
  </si>
  <si>
    <t>……………………………………..</t>
  </si>
  <si>
    <t>STATUS DALAM KELUARGA</t>
  </si>
  <si>
    <t>ANAK KE-</t>
  </si>
  <si>
    <t>No. Absen :</t>
  </si>
  <si>
    <t>PEKERJAAN AYAH</t>
  </si>
  <si>
    <t>PEKERJAAN IBU</t>
  </si>
  <si>
    <t>Kembali Ke Halaman Utama</t>
  </si>
  <si>
    <t>= Belum Lengkap</t>
  </si>
  <si>
    <t>P</t>
  </si>
  <si>
    <t>K</t>
  </si>
  <si>
    <t>S</t>
  </si>
  <si>
    <t>Kelompok A (Wajib)</t>
  </si>
  <si>
    <t>Kelompok B (Wajib)</t>
  </si>
  <si>
    <t>I</t>
  </si>
  <si>
    <t>A</t>
  </si>
  <si>
    <t>NAMA KEGIATAN</t>
  </si>
  <si>
    <t>Praja Muda Karana</t>
  </si>
  <si>
    <t>Pramuka</t>
  </si>
  <si>
    <t>Karate</t>
  </si>
  <si>
    <t>Paduan Suara</t>
  </si>
  <si>
    <t>KOMPETENSI</t>
  </si>
  <si>
    <t>CATATAN</t>
  </si>
  <si>
    <t>Sikap Spiritual dan Sosial</t>
  </si>
  <si>
    <t>Baik, sudah memahami seluruh kompetensi, terutama sangat baik dalam memahami makna mujahadah an-nafs. Terus berlatih agar lebih baik dalam kompetensi yang lain.</t>
  </si>
  <si>
    <t>Kelompok C (Peminatan)</t>
  </si>
  <si>
    <t>Kelompok D (Muatan Lokal)</t>
  </si>
  <si>
    <t>Band</t>
  </si>
  <si>
    <t>Mulok</t>
  </si>
  <si>
    <t>Nyanyinya fals tapi semangatnya oke</t>
  </si>
  <si>
    <t>Mampu memecah balok batu bata sejumlah 10 buah</t>
  </si>
  <si>
    <t>Mampu menunjukkan jurus2 baru</t>
  </si>
  <si>
    <t>Pintar main gitar lepas stang</t>
  </si>
  <si>
    <t>Sudah baik, sering berangkat, ga pernah bolos, suka menggunakan tongkatnya untuk menjemur pakaian yang basah dan sepatu juga</t>
  </si>
  <si>
    <t>NAMA MATA PELAJARAN</t>
  </si>
  <si>
    <t>DESKRIPSI SIKAP ANTAR MATA PELAJARAN (diputuskan melalui rapat bersama dengan guru mata pelajaran dan wali kelas )</t>
  </si>
  <si>
    <t>MUATAN LOKAL</t>
  </si>
  <si>
    <t>PAKET KEAHLIAN</t>
  </si>
  <si>
    <t>DASAR BIDANG KEAHLIAN</t>
  </si>
  <si>
    <t>DASAR PROGRAM KEAHLIAN</t>
  </si>
  <si>
    <t>KELOMPOK B (WAJIB)</t>
  </si>
  <si>
    <t>KELOMPOK A (WAJIB)</t>
  </si>
  <si>
    <t>agama k</t>
  </si>
  <si>
    <t>agama s</t>
  </si>
  <si>
    <t>pkn p</t>
  </si>
  <si>
    <t>pkn k</t>
  </si>
  <si>
    <t>pkn s</t>
  </si>
  <si>
    <t>indo p</t>
  </si>
  <si>
    <t>indo k</t>
  </si>
  <si>
    <t>indo s</t>
  </si>
  <si>
    <t>mtk p</t>
  </si>
  <si>
    <t>mtk k</t>
  </si>
  <si>
    <t>mtk s</t>
  </si>
  <si>
    <t>Ketrampilan</t>
  </si>
  <si>
    <t>Sikap</t>
  </si>
  <si>
    <t>senibud p</t>
  </si>
  <si>
    <t>senibud k</t>
  </si>
  <si>
    <t>senibud s</t>
  </si>
  <si>
    <t>pjok p</t>
  </si>
  <si>
    <t>pjok k</t>
  </si>
  <si>
    <t>pjok s</t>
  </si>
  <si>
    <t>pkwu p</t>
  </si>
  <si>
    <t>pkwu k</t>
  </si>
  <si>
    <t>pkwu s</t>
  </si>
  <si>
    <t>fi p</t>
  </si>
  <si>
    <t>fis k</t>
  </si>
  <si>
    <t>fis s</t>
  </si>
  <si>
    <t>kim p</t>
  </si>
  <si>
    <t>kim k</t>
  </si>
  <si>
    <t>kim s</t>
  </si>
  <si>
    <t>bg p</t>
  </si>
  <si>
    <t>gb k</t>
  </si>
  <si>
    <t>gb s</t>
  </si>
  <si>
    <t>gbb p</t>
  </si>
  <si>
    <t>gbb k</t>
  </si>
  <si>
    <t>gbb s</t>
  </si>
  <si>
    <t>Kepala Sekolah</t>
  </si>
  <si>
    <t>LAPORAN PENCAPAIAN KOMPETENSI PESERTA DIDIK</t>
  </si>
  <si>
    <t>APLIKASI</t>
  </si>
  <si>
    <t>Capaian Semester</t>
  </si>
  <si>
    <t>Deskripsi Semester</t>
  </si>
  <si>
    <t>Leger Capaian Semester</t>
  </si>
  <si>
    <t>Wajib</t>
  </si>
  <si>
    <t>Pilihan</t>
  </si>
  <si>
    <t>Kegiatan</t>
  </si>
  <si>
    <t>--</t>
  </si>
  <si>
    <t>Bola Voly</t>
  </si>
  <si>
    <t>Voly</t>
  </si>
  <si>
    <t>Futsal</t>
  </si>
  <si>
    <t>Sabara</t>
  </si>
  <si>
    <t>Tonti</t>
  </si>
  <si>
    <t>Pleton Inti</t>
  </si>
  <si>
    <t>KIR</t>
  </si>
  <si>
    <t>Karya Ilmiah Remaja</t>
  </si>
  <si>
    <t>PENGEMBANGAN DIRI</t>
  </si>
  <si>
    <t>KETIDAKHADIRAN</t>
  </si>
  <si>
    <t>PPKn</t>
  </si>
  <si>
    <t>NISN</t>
  </si>
  <si>
    <t>Nomor Induk Siswa</t>
  </si>
  <si>
    <t>SEKOLAH MENENGAH KEJURUAN (SMK)</t>
  </si>
  <si>
    <t>Mentoring / ESQ</t>
  </si>
  <si>
    <t>ESQ</t>
  </si>
  <si>
    <t>Bela Diri Karate</t>
  </si>
  <si>
    <t>Bola Basket</t>
  </si>
  <si>
    <t>Tenis Meja</t>
  </si>
  <si>
    <t>Patroli Keamanan Sekolah</t>
  </si>
  <si>
    <t>Saka Bhayangkara</t>
  </si>
  <si>
    <t>Tari dan Drama</t>
  </si>
  <si>
    <t>Musik Hadroh</t>
  </si>
  <si>
    <t>Prima Suara Radio</t>
  </si>
  <si>
    <t>Palang Merah Remaja</t>
  </si>
  <si>
    <t>Kerohanian Islam</t>
  </si>
  <si>
    <t>Company Programme</t>
  </si>
  <si>
    <t>English Speaking Club</t>
  </si>
  <si>
    <t>Basket</t>
  </si>
  <si>
    <t>Hadroh</t>
  </si>
  <si>
    <t>Tari Drama</t>
  </si>
  <si>
    <t>Radio</t>
  </si>
  <si>
    <t>PMR</t>
  </si>
  <si>
    <t>Rohis</t>
  </si>
  <si>
    <t>ESC</t>
  </si>
  <si>
    <t>CP</t>
  </si>
  <si>
    <t>Patroli Sekolah</t>
  </si>
  <si>
    <t>Pengembangan Diri Wajib</t>
  </si>
  <si>
    <t>Pengembangan Diri Pilihan</t>
  </si>
  <si>
    <t>Guru 12</t>
  </si>
  <si>
    <t>Guru 13</t>
  </si>
  <si>
    <t>Guru 14</t>
  </si>
  <si>
    <t>Guru 15</t>
  </si>
  <si>
    <t>Antar Mata Pelajaran</t>
  </si>
  <si>
    <t>Dalam Mata Pelajaran</t>
  </si>
  <si>
    <t>Guru 23</t>
  </si>
  <si>
    <t>Guru 24</t>
  </si>
  <si>
    <t>Guru 25</t>
  </si>
  <si>
    <t>Guru 26</t>
  </si>
  <si>
    <t>Guru 27</t>
  </si>
  <si>
    <t>Guru 28</t>
  </si>
  <si>
    <t>Guru 29</t>
  </si>
  <si>
    <t>B</t>
  </si>
  <si>
    <t>Perisai Diri</t>
  </si>
  <si>
    <t>PD</t>
  </si>
  <si>
    <t>SMK NEGERI 2 BALEENDAH</t>
  </si>
  <si>
    <t>20206226</t>
  </si>
  <si>
    <t>Jalan RAA Wiranata Kusumah No. 11</t>
  </si>
  <si>
    <t>022-5940714</t>
  </si>
  <si>
    <t>Baleendah</t>
  </si>
  <si>
    <t>Kab. Bandung</t>
  </si>
  <si>
    <t>Jawa Barat</t>
  </si>
  <si>
    <t>smkn2baleendah@yahoo.co.id</t>
  </si>
  <si>
    <t>Drs. H. Carma Rahmat, M.Pd</t>
  </si>
  <si>
    <t>Baleendah, 14 Juli 2014</t>
  </si>
  <si>
    <t>2014/2015</t>
  </si>
  <si>
    <t>DAFTAR CAPAIAN PESERTA DIDIK SMK NEGERI 2 BALEENDAH</t>
  </si>
  <si>
    <t>Suntama, S.Pd.I</t>
  </si>
  <si>
    <t>Iis Tarliah, S.Pd</t>
  </si>
  <si>
    <t>Tita Kania, S.Pd</t>
  </si>
  <si>
    <t>PEMERINTAH KABUPATEN BANDUNG</t>
  </si>
  <si>
    <t>DINAS PENDIDIKAN DAN KEBUDAYAAN</t>
  </si>
  <si>
    <t>Alamat : JL. RAA. Wiranata Kusumah No. 11 Kel. Baleendah Kec. Baleendah Kab. Bandung</t>
  </si>
  <si>
    <t>Web Site :  smkn2baleendah.sch.id e-mail : smknduabaleendah@yahoo.co.id</t>
  </si>
  <si>
    <t>Telp. 022-5940714 Kode Pos 40375</t>
  </si>
  <si>
    <t>LAPORAN HASIL PENCAPAIAN KOMPETENSI PESERTA DIDIK</t>
  </si>
  <si>
    <t>DESKRIPSI PENCAPAIAN KOMPETENSI PESERTA DIDIK</t>
  </si>
  <si>
    <t>M E N U</t>
  </si>
  <si>
    <t>INPUT DATA SISWA, DI SINI AJA</t>
  </si>
  <si>
    <t>196108151986031010</t>
  </si>
  <si>
    <t>Jumlah</t>
  </si>
  <si>
    <t>R</t>
  </si>
  <si>
    <t>RANK</t>
  </si>
  <si>
    <t>Nama Orang Tua / Wali</t>
  </si>
  <si>
    <t>Ranking</t>
  </si>
  <si>
    <t>Tanda Tangan</t>
  </si>
  <si>
    <t>TANDA TERIMA PENGAMBILAN RAPORT</t>
  </si>
  <si>
    <t>WALI KELAS</t>
  </si>
  <si>
    <t>Tanda Terima Raport</t>
  </si>
  <si>
    <t>www.smkn2baleendah.sch.id</t>
  </si>
  <si>
    <t>2 ( Dua )</t>
  </si>
  <si>
    <t>Baleendah, 20 Juni 2015</t>
  </si>
  <si>
    <t>Teknologi Informasi dan Komunikasi</t>
  </si>
  <si>
    <t>Teknik Komputer dan Informatika</t>
  </si>
  <si>
    <t>Teknik Komputer dan Jaringan</t>
  </si>
  <si>
    <t>196509031991032004</t>
  </si>
  <si>
    <t>XI TKJ 2</t>
  </si>
  <si>
    <t>XI (sebelas)</t>
  </si>
  <si>
    <t>Islam</t>
  </si>
  <si>
    <t>Laki-laki</t>
  </si>
  <si>
    <t>Alfa Andeka Aerlangga</t>
  </si>
  <si>
    <t>Andi Setiawan</t>
  </si>
  <si>
    <t>Andreas Rizki Rizaldi</t>
  </si>
  <si>
    <t>Arif Setya Permana</t>
  </si>
  <si>
    <t>Cecep Solehudin</t>
  </si>
  <si>
    <t>Cepy Septiahadi</t>
  </si>
  <si>
    <t>Chandra Khoerudin</t>
  </si>
  <si>
    <t>Chepy Trisnandar</t>
  </si>
  <si>
    <t>Dinda Prastiwi</t>
  </si>
  <si>
    <t>Dwiki Pratama Suherman</t>
  </si>
  <si>
    <t>Erry Nur Azhari</t>
  </si>
  <si>
    <t>Gita Cahya Aulia</t>
  </si>
  <si>
    <t>Hamim Yusuf</t>
  </si>
  <si>
    <t>Hamzah Ashari</t>
  </si>
  <si>
    <t>Harry Sandi</t>
  </si>
  <si>
    <t>Hilman Fajri Fahriansyah</t>
  </si>
  <si>
    <t>Ilham Sidiq</t>
  </si>
  <si>
    <t>Irfan Ahmad Fadhil</t>
  </si>
  <si>
    <t>Kharismauli Cindi Cenora BR Limbong</t>
  </si>
  <si>
    <t>Lalan Maulana Yusup</t>
  </si>
  <si>
    <t>Leni Yuniar</t>
  </si>
  <si>
    <t>Mochamad Fanny Luthfiana</t>
  </si>
  <si>
    <t>Mochammad Rofiq Sofyan</t>
  </si>
  <si>
    <t>Muhamad Rifki</t>
  </si>
  <si>
    <t>Muhammad Azka Ramadhan</t>
  </si>
  <si>
    <t>Muhammad Rizky Adrian</t>
  </si>
  <si>
    <t>Muhammad Sakhin Aliyyin</t>
  </si>
  <si>
    <t>Rafly Ramadhan</t>
  </si>
  <si>
    <t>Raka Bagus Hartanto</t>
  </si>
  <si>
    <t>Ramdan Rohadiat</t>
  </si>
  <si>
    <t>Reza Lesmana Budiman</t>
  </si>
  <si>
    <t>Septhi Tsaltsah Rosulani</t>
  </si>
  <si>
    <t>Silmi Farhah Fauziah</t>
  </si>
  <si>
    <t>Syahrul Nizam</t>
  </si>
  <si>
    <t>Teti Hanira</t>
  </si>
  <si>
    <t>Yongki Agustin</t>
  </si>
  <si>
    <t>Yusi Ridwan Firdaus</t>
  </si>
  <si>
    <t>Zineda Zidan</t>
  </si>
  <si>
    <t>1314.10.107</t>
  </si>
  <si>
    <t>1314.10.108</t>
  </si>
  <si>
    <t>1314.10.109</t>
  </si>
  <si>
    <t>1314.10.110</t>
  </si>
  <si>
    <t>1314.10.111</t>
  </si>
  <si>
    <t>1314.10.112</t>
  </si>
  <si>
    <t>1314.10.113</t>
  </si>
  <si>
    <t>1314.10.114</t>
  </si>
  <si>
    <t>1314.10.115</t>
  </si>
  <si>
    <t>1314.10.116</t>
  </si>
  <si>
    <t>1314.10.117</t>
  </si>
  <si>
    <t>1314.10.118</t>
  </si>
  <si>
    <t>1314.10.119</t>
  </si>
  <si>
    <t>1314.10.120</t>
  </si>
  <si>
    <t>1314.10.121</t>
  </si>
  <si>
    <t>1314.10.122</t>
  </si>
  <si>
    <t>1314.10.123</t>
  </si>
  <si>
    <t>1314.10.124</t>
  </si>
  <si>
    <t>1314.10.125</t>
  </si>
  <si>
    <t>1314.10.126</t>
  </si>
  <si>
    <t>1314.10.127</t>
  </si>
  <si>
    <t>1314.10.128</t>
  </si>
  <si>
    <t>1314.10.129</t>
  </si>
  <si>
    <t>1314.10.130</t>
  </si>
  <si>
    <t>1314.10.131</t>
  </si>
  <si>
    <t>1314.10.132</t>
  </si>
  <si>
    <t>1314.10.133</t>
  </si>
  <si>
    <t>1314.10.134</t>
  </si>
  <si>
    <t>1314.10.135</t>
  </si>
  <si>
    <t>1314.10.136</t>
  </si>
  <si>
    <t>1314.10.137</t>
  </si>
  <si>
    <t>1314.10.138</t>
  </si>
  <si>
    <t>1314.10.139</t>
  </si>
  <si>
    <t>1314.10.140</t>
  </si>
  <si>
    <t>1314.10.141</t>
  </si>
  <si>
    <t>1314.10.142</t>
  </si>
  <si>
    <t>1314.10.143</t>
  </si>
  <si>
    <t>1314.10.144</t>
  </si>
  <si>
    <t>Bandung</t>
  </si>
  <si>
    <t>jl.Adikusuma RT 05/10 cigado</t>
  </si>
  <si>
    <t>08972123276</t>
  </si>
  <si>
    <t>SMPn 2 Baleendah</t>
  </si>
  <si>
    <t>jl.Siliwangi</t>
  </si>
  <si>
    <t>Senan Haryono</t>
  </si>
  <si>
    <t>salbiyatun</t>
  </si>
  <si>
    <t>swasta</t>
  </si>
  <si>
    <t>ibu rumah tangga</t>
  </si>
  <si>
    <t>16 Maret 1998</t>
  </si>
  <si>
    <t>kp.karasak 06/02 desa ciheulang</t>
  </si>
  <si>
    <t>085321920158</t>
  </si>
  <si>
    <t>SMPn 1 Ciparay</t>
  </si>
  <si>
    <t>jl.raya Laswi no.809</t>
  </si>
  <si>
    <t>DN-02DI 0137994</t>
  </si>
  <si>
    <t>DN-02 DI 0120498</t>
  </si>
  <si>
    <t>X TKJ 2</t>
  </si>
  <si>
    <t>1 juli 2013</t>
  </si>
  <si>
    <t>Anak kandung</t>
  </si>
  <si>
    <t>Wawan Sutisna</t>
  </si>
  <si>
    <t>Edang Rusnawati</t>
  </si>
  <si>
    <t>wiraswasta</t>
  </si>
  <si>
    <t>14 Juli 1998</t>
  </si>
  <si>
    <t>kp.leles Ds.mekarsari 03/11</t>
  </si>
  <si>
    <t>082240604117</t>
  </si>
  <si>
    <t>DN-02 DI 0137950</t>
  </si>
  <si>
    <t>Endang Rusnandar</t>
  </si>
  <si>
    <t>Sri Karmanah</t>
  </si>
  <si>
    <t>Guru</t>
  </si>
  <si>
    <t>kp.Bumi Asih Rt06/12 Ciparay</t>
  </si>
  <si>
    <t>08990392906</t>
  </si>
  <si>
    <t>DN-02 DI 0137860</t>
  </si>
  <si>
    <t>Deden Mulyana</t>
  </si>
  <si>
    <t>Siti Setyaasih</t>
  </si>
  <si>
    <t>kp.cihonje Rt05/02 Ds.wargaluyu</t>
  </si>
  <si>
    <t>089637399722</t>
  </si>
  <si>
    <t>SMPn 1 Pameungpeuk</t>
  </si>
  <si>
    <t>jl.Sidan Reret no.32 pamengpeuk</t>
  </si>
  <si>
    <t>DN-02 DI 0122025</t>
  </si>
  <si>
    <t>Dedi Kusnadi</t>
  </si>
  <si>
    <t>Oon Ratnasih</t>
  </si>
  <si>
    <t>Buruh</t>
  </si>
  <si>
    <t>kp.Rancabungur 02/05 Ds.malaka sari</t>
  </si>
  <si>
    <t>088802070968</t>
  </si>
  <si>
    <t>SMP Handayani 2 Pameungpeuk</t>
  </si>
  <si>
    <t>kp.Bojong Sereh Banjaran</t>
  </si>
  <si>
    <t>DN-02 DI</t>
  </si>
  <si>
    <t>DN-02 DI 0142474</t>
  </si>
  <si>
    <t>Asep setiawan</t>
  </si>
  <si>
    <t>T.Yulianti</t>
  </si>
  <si>
    <t>PNS</t>
  </si>
  <si>
    <t xml:space="preserve">08 Agustus </t>
  </si>
  <si>
    <t>kp.Babakan rt 01/09</t>
  </si>
  <si>
    <t>089637123375</t>
  </si>
  <si>
    <t>SMPn 3 Bandung</t>
  </si>
  <si>
    <t>jl.Borobudur Cibaduyut</t>
  </si>
  <si>
    <t xml:space="preserve">DN-02 DI </t>
  </si>
  <si>
    <t>Oca Mulyana</t>
  </si>
  <si>
    <t>Ani Cahyani</t>
  </si>
  <si>
    <t>29 oktober 1997</t>
  </si>
  <si>
    <t>kp.Cibiuk Rt 05/13</t>
  </si>
  <si>
    <t>089657153486</t>
  </si>
  <si>
    <t xml:space="preserve">jl.Sindang Reret </t>
  </si>
  <si>
    <t>DN-02 DI 0122065</t>
  </si>
  <si>
    <t>Usep Spriadi</t>
  </si>
  <si>
    <t>Ratna y</t>
  </si>
  <si>
    <t>12 Januari 1998</t>
  </si>
  <si>
    <t>kp.mekarsari Rt 05/23 Kec.Baleendah</t>
  </si>
  <si>
    <t>089519805198</t>
  </si>
  <si>
    <t>kp.cipeuteuy</t>
  </si>
  <si>
    <t>DN-02 DI 0141419</t>
  </si>
  <si>
    <t>Suyono</t>
  </si>
  <si>
    <t>Soniah</t>
  </si>
  <si>
    <t>27 Juli 1998</t>
  </si>
  <si>
    <t>kp.Cijaringao Rt 02/03 Ds.Lebakwangi</t>
  </si>
  <si>
    <t>087824383468</t>
  </si>
  <si>
    <t>SMP plus Al- Istiqomah</t>
  </si>
  <si>
    <t>SMPn 1 Arjasari</t>
  </si>
  <si>
    <t xml:space="preserve">jl.Raya Arjasari Cisalak </t>
  </si>
  <si>
    <t>DN-02 DI 0122376</t>
  </si>
  <si>
    <t>Eman Suherman</t>
  </si>
  <si>
    <t>kp.Mulyasari 04 Baleendah</t>
  </si>
  <si>
    <t>089614294577</t>
  </si>
  <si>
    <t>SMPn 1 Dayeuhkolot</t>
  </si>
  <si>
    <t>jl.Moh.Toha Km.08</t>
  </si>
  <si>
    <t>DN-02 DI 0120993</t>
  </si>
  <si>
    <t>Mohamad Nurfadilah</t>
  </si>
  <si>
    <t>Nurhasanah</t>
  </si>
  <si>
    <t>02 februari 1999</t>
  </si>
  <si>
    <t>kp.GPA jl.Primaraya I no.4</t>
  </si>
  <si>
    <t>089667695792</t>
  </si>
  <si>
    <t>DN-02 DI 0142770</t>
  </si>
  <si>
    <t>Saryanti S.Pd</t>
  </si>
  <si>
    <t>wirausaha</t>
  </si>
  <si>
    <t>1 Januari 1998</t>
  </si>
  <si>
    <t>kp.sekeawi Rt.04/04</t>
  </si>
  <si>
    <t>085624667772</t>
  </si>
  <si>
    <t>SMPn 2 Margahayu</t>
  </si>
  <si>
    <t>jl.Kopo Sayati kab. Bandung</t>
  </si>
  <si>
    <t>DN-02 DI 0130306</t>
  </si>
  <si>
    <t>Sudir Al- Amin</t>
  </si>
  <si>
    <t>Yatimah</t>
  </si>
  <si>
    <t>jl.Rancamanyar Baleendah</t>
  </si>
  <si>
    <t>08985638326</t>
  </si>
  <si>
    <t>SMPn 3 Baleendah</t>
  </si>
  <si>
    <t>kp.Mulyasari Rt 05/18 Baleendah</t>
  </si>
  <si>
    <t>DN-02 DI 0120869</t>
  </si>
  <si>
    <t>Hasan Romansyah</t>
  </si>
  <si>
    <t>Darsih</t>
  </si>
  <si>
    <t>5 mei 1998</t>
  </si>
  <si>
    <t>kp.Gugunungan Rt 3/5</t>
  </si>
  <si>
    <t>085624801458</t>
  </si>
  <si>
    <t>SMP Gemah</t>
  </si>
  <si>
    <t>Jelekong Baleendah</t>
  </si>
  <si>
    <t>DN-02 DI 0140528</t>
  </si>
  <si>
    <t xml:space="preserve">Suryana </t>
  </si>
  <si>
    <t>Saripah</t>
  </si>
  <si>
    <t>4 Agustus 1998</t>
  </si>
  <si>
    <t>jl.Anggadireja Rt 03/10 Cigado Baleendah</t>
  </si>
  <si>
    <t>089503377197</t>
  </si>
  <si>
    <t>SMPn 1 Baleendah</t>
  </si>
  <si>
    <t>jl.Adipati Agung no 29</t>
  </si>
  <si>
    <t>DN-02 DI 0120110</t>
  </si>
  <si>
    <t>Muristo</t>
  </si>
  <si>
    <t>Ulfah Hayati</t>
  </si>
  <si>
    <t>7 Janari 1998</t>
  </si>
  <si>
    <t>Bumi Karya Ciheulang c17 no 4</t>
  </si>
  <si>
    <t>089682204300</t>
  </si>
  <si>
    <t>jl. Siliwagi</t>
  </si>
  <si>
    <t xml:space="preserve">Sutisna </t>
  </si>
  <si>
    <t>Rosnawati</t>
  </si>
  <si>
    <t>BUMN</t>
  </si>
  <si>
    <t>KBSI blok J2 No.6 Ciparay</t>
  </si>
  <si>
    <t>089668131919</t>
  </si>
  <si>
    <t>jl.laswi no.809</t>
  </si>
  <si>
    <t>DN-02 DI 0137880</t>
  </si>
  <si>
    <t>Dedi Ramdani</t>
  </si>
  <si>
    <t>Ika Kartika</t>
  </si>
  <si>
    <t>19 oktober 1999</t>
  </si>
  <si>
    <t>Ciheulang Karasak Kp.Lengkong</t>
  </si>
  <si>
    <t>089631299981</t>
  </si>
  <si>
    <t>DN-02 DI 0119836</t>
  </si>
  <si>
    <t>Kristen</t>
  </si>
  <si>
    <t>Charles Bronson Limbong</t>
  </si>
  <si>
    <t>Rotua Boru Sitanggung</t>
  </si>
  <si>
    <t>11 juli 1998</t>
  </si>
  <si>
    <t>kp.Bojong Koneng Rt.02/12 Ds.Rancamanyar</t>
  </si>
  <si>
    <t>089636705727</t>
  </si>
  <si>
    <t>DN-02 DI 0120115</t>
  </si>
  <si>
    <t>Deni</t>
  </si>
  <si>
    <t>Entin Gustini</t>
  </si>
  <si>
    <t>5 Juni 1997</t>
  </si>
  <si>
    <t>kp.kamasan Rt 1/6</t>
  </si>
  <si>
    <t>0896217522071</t>
  </si>
  <si>
    <t>SMPn 2 Banjaran</t>
  </si>
  <si>
    <t>DN-02 DI 0123062</t>
  </si>
  <si>
    <t>Fuad yusuf</t>
  </si>
  <si>
    <t>Yuyun Yuningsih</t>
  </si>
  <si>
    <t>5 juli 1998</t>
  </si>
  <si>
    <t>Baleendah Permai b-149</t>
  </si>
  <si>
    <t>SMPn 3 Bogor</t>
  </si>
  <si>
    <t xml:space="preserve">jl.kiangroke Banjaran </t>
  </si>
  <si>
    <t>jl.Malabar no.6 Bogor</t>
  </si>
  <si>
    <t>DN-02 DI 0064730</t>
  </si>
  <si>
    <t xml:space="preserve">Acep cahyana </t>
  </si>
  <si>
    <t>Yani  Andari</t>
  </si>
  <si>
    <t>Karawang</t>
  </si>
  <si>
    <t>22 Desember 1997</t>
  </si>
  <si>
    <t>jl.Panyadap no.58 Ds.majalaya</t>
  </si>
  <si>
    <t>089635595036</t>
  </si>
  <si>
    <t>SMPn 1 Ibun</t>
  </si>
  <si>
    <t>jl.Panggiligan taun no.1</t>
  </si>
  <si>
    <t>M.A Ramdhan Akbar</t>
  </si>
  <si>
    <t>Halimatus sadiah</t>
  </si>
  <si>
    <t>14 Juni 1998</t>
  </si>
  <si>
    <t>kp.arjasari Asri rt 02/10</t>
  </si>
  <si>
    <t>085797142928</t>
  </si>
  <si>
    <t xml:space="preserve">jl.arjasari cisalak </t>
  </si>
  <si>
    <t>Abdillah</t>
  </si>
  <si>
    <t>Mariam</t>
  </si>
  <si>
    <t>22 Januari 1998</t>
  </si>
  <si>
    <t>jl. Bidara  blokE-38</t>
  </si>
  <si>
    <t>081312417733</t>
  </si>
  <si>
    <t>SMPn 1 banjaran</t>
  </si>
  <si>
    <t>jl.Pajagalan no.75</t>
  </si>
  <si>
    <t>DN-02 Di 0122924</t>
  </si>
  <si>
    <t>Evie Sri</t>
  </si>
  <si>
    <t>10 Maret 1998</t>
  </si>
  <si>
    <t>kp.Jelekong Rt.02/09</t>
  </si>
  <si>
    <t>DN-02 DI 0119958</t>
  </si>
  <si>
    <t>Ari Suhendra</t>
  </si>
  <si>
    <t>Enen Kustiani</t>
  </si>
  <si>
    <t>5 Februari 1998</t>
  </si>
  <si>
    <t>kp.Talun ds.taggulun Rt03/04</t>
  </si>
  <si>
    <t>085795282671</t>
  </si>
  <si>
    <t xml:space="preserve">SMPn 1 Ibun </t>
  </si>
  <si>
    <t>DN-02 DI 0135032</t>
  </si>
  <si>
    <t>Agus alliyn</t>
  </si>
  <si>
    <t>Imas Masioh</t>
  </si>
  <si>
    <t>31 Desember 1997</t>
  </si>
  <si>
    <t>jl.Saluyu Indah XU-92 A</t>
  </si>
  <si>
    <t>089654522739</t>
  </si>
  <si>
    <t xml:space="preserve">jl.Siliwangi </t>
  </si>
  <si>
    <t>DN-02 DI 0120217</t>
  </si>
  <si>
    <t>Tatang Syarifudin</t>
  </si>
  <si>
    <t>Luczy Amelia</t>
  </si>
  <si>
    <t>Polri</t>
  </si>
  <si>
    <t xml:space="preserve">Ciheulang </t>
  </si>
  <si>
    <t>085720847107</t>
  </si>
  <si>
    <t>jl. Laswi no.809</t>
  </si>
  <si>
    <t>DN-02 DI 0137888</t>
  </si>
  <si>
    <t>Sucipto</t>
  </si>
  <si>
    <t>Tina Suharlina</t>
  </si>
  <si>
    <t>30 agustus 1998</t>
  </si>
  <si>
    <t>082319107519</t>
  </si>
  <si>
    <t>DN-02 DI 0121054</t>
  </si>
  <si>
    <t>samsudin</t>
  </si>
  <si>
    <t>Rohayati</t>
  </si>
  <si>
    <t>kp.Bahuan</t>
  </si>
  <si>
    <t>03 Februari 1998</t>
  </si>
  <si>
    <t>kp.ciapus Rt 01/06 Ds Ciapus</t>
  </si>
  <si>
    <t>08997884100</t>
  </si>
  <si>
    <t>MTs Persis Banjaran</t>
  </si>
  <si>
    <t>jl.pajagalan 115 Banjaran</t>
  </si>
  <si>
    <t>Rudi Budiman</t>
  </si>
  <si>
    <t>Eka Karwati</t>
  </si>
  <si>
    <t>jl.Jaksanaranata selatan Rt 02/11</t>
  </si>
  <si>
    <t>085315986736</t>
  </si>
  <si>
    <t>SMPn 1 baleendah</t>
  </si>
  <si>
    <t>DN-02 DI 0120049</t>
  </si>
  <si>
    <t>E.Ruslan Abdul Gani s.Sos</t>
  </si>
  <si>
    <t>N.siti Nurhasanah</t>
  </si>
  <si>
    <t>kp.Cintaasih Rt 03/02 Banjaran</t>
  </si>
  <si>
    <t>08984843202</t>
  </si>
  <si>
    <t>DN-02 DI 0122889</t>
  </si>
  <si>
    <t>Tatang Rohendi</t>
  </si>
  <si>
    <t>Ida Maliah</t>
  </si>
  <si>
    <t>Buru Lepas</t>
  </si>
  <si>
    <t>2 Maret 1998</t>
  </si>
  <si>
    <t>kp.Bandra Rt 03/02 Ds. Lamajang</t>
  </si>
  <si>
    <t>089689757664</t>
  </si>
  <si>
    <t>SMPn 1 Cimaung</t>
  </si>
  <si>
    <t>jl.Ds.Cipinang Kec.cimaung</t>
  </si>
  <si>
    <t>DN-02 DI 0124112</t>
  </si>
  <si>
    <t>Cecep Wihanto</t>
  </si>
  <si>
    <t>Iis Roisah</t>
  </si>
  <si>
    <t>16 Agustus 1998</t>
  </si>
  <si>
    <t>kp.Caringin Baleendah</t>
  </si>
  <si>
    <t>089656592052</t>
  </si>
  <si>
    <t>SMPn 28 Bandung</t>
  </si>
  <si>
    <t>jl.Arjuna n.20-22 Bandung</t>
  </si>
  <si>
    <t>DN-02 DI 000772</t>
  </si>
  <si>
    <t>Wartas</t>
  </si>
  <si>
    <t>Tuti</t>
  </si>
  <si>
    <t>jl.adipati agung Mulyasari</t>
  </si>
  <si>
    <t>089637547851</t>
  </si>
  <si>
    <t>jl.siliwangi Baleendah</t>
  </si>
  <si>
    <t>DN-02 Di 0120496</t>
  </si>
  <si>
    <t>Budi Supriatno</t>
  </si>
  <si>
    <t>Heni</t>
  </si>
  <si>
    <t>komplek Graha Adipati agung no.7</t>
  </si>
  <si>
    <t>0898563874</t>
  </si>
  <si>
    <t>DN-02 DI 0120586</t>
  </si>
  <si>
    <t>Didin Junaedi</t>
  </si>
  <si>
    <t>Yayah Haeriah</t>
  </si>
  <si>
    <t xml:space="preserve">Pendidikan Lingkungan Hidup </t>
  </si>
  <si>
    <t>PLH</t>
  </si>
  <si>
    <t>Fisika</t>
  </si>
  <si>
    <t>Sistem Komputer</t>
  </si>
  <si>
    <t>Siskom</t>
  </si>
  <si>
    <t>Drs.Upie Indrakusumah</t>
  </si>
  <si>
    <t>Drs. Sukaya</t>
  </si>
  <si>
    <t>Agus Bekti S.pd</t>
  </si>
  <si>
    <t>Dra. Martha Ulli</t>
  </si>
  <si>
    <t>Dra. Rini Anggraeni</t>
  </si>
  <si>
    <t>Farida Tahar M.pd</t>
  </si>
  <si>
    <t>Komputer terapan</t>
  </si>
  <si>
    <t>Rancang Bangun Jaringan</t>
  </si>
  <si>
    <t>Komunikasi Data</t>
  </si>
  <si>
    <t>Pemograman Dasar</t>
  </si>
  <si>
    <t>Administrasi Server</t>
  </si>
  <si>
    <t>Sistem Operasi Jaringan</t>
  </si>
  <si>
    <t>KT</t>
  </si>
  <si>
    <t>RBJ</t>
  </si>
  <si>
    <t>KD</t>
  </si>
  <si>
    <t>AS</t>
  </si>
  <si>
    <t>SOJ</t>
  </si>
  <si>
    <t>Dessy Mayasari, S.Kom</t>
  </si>
  <si>
    <t>Rofidin S.kom</t>
  </si>
  <si>
    <t>Ronny Noor R S.T</t>
  </si>
  <si>
    <t>Ryan Farismana S.kom</t>
  </si>
  <si>
    <t>Ismania HMI, S.Pd</t>
  </si>
  <si>
    <t>25 maret 1998</t>
  </si>
  <si>
    <t>kp. Kerenceng rt 03/11</t>
  </si>
  <si>
    <t>SMPn 3 baleendah</t>
  </si>
  <si>
    <t>jl. Rancamanyar</t>
  </si>
  <si>
    <t>DN-02 DI 0120938</t>
  </si>
  <si>
    <t>Iwan Gunawan</t>
  </si>
  <si>
    <t>Lilis Elahayati</t>
  </si>
  <si>
    <t>Kp. Kerenceng rt 03/11 Ds.bojongmalaka</t>
  </si>
  <si>
    <t>karawitan</t>
  </si>
  <si>
    <t>SB</t>
  </si>
  <si>
    <t>OSIS</t>
  </si>
  <si>
    <t>PASKIBRA</t>
  </si>
  <si>
    <t>DKM</t>
  </si>
  <si>
    <t>Organisasi Siswa Intra Sekolah</t>
  </si>
  <si>
    <t>Peserta didik sudah baik sekali dalam Teks Explanasi, Teks Film/Drama, , , tetapi masih kurang bisa mengevaluasi salah satu kompetensi dasar</t>
  </si>
  <si>
    <t>Terampil dalam  Teks Explanasi, Teks Film/Drama, , , tetapi masih kurang bisa mengevaluasi salah satu kompetensi dasar</t>
  </si>
  <si>
    <t>Peserta Didik Sudah baik dalam menunjukkan sikap mengamalkan ajarannya, konsisten menerapkan sikap santun, jujur, kerjasama, percaya diri, disiplin, tanggung jawabserta peduli terhadap lingkungan</t>
  </si>
  <si>
    <t>Peserta didik sudah sangat baik dalam  Teks Explanasi, Teks Film/Drama, , , tetapi  masih kurang teliti pada salah satu kompetensi dasar</t>
  </si>
  <si>
    <t>Peserta didik sudah baik dalam Teks Explanasi, Teks Film/Drama, , , tetapi masih kurang mengevaluasi 2 kompetensi dasar</t>
  </si>
  <si>
    <t>Terampil  dalam Teks Explanasi, Teks Film/Drama, , , tetapi  masih kurang teliti pada salah satu kompetensi dasar</t>
  </si>
  <si>
    <t>Peserta Didik Sudah sangat baik dalam menunjukkan sikap mengamalkan ajarannya, konsisten menerapkan sikap santun, jujur, kerjasama, percaya diri, disiplin, tanggung jawabserta peduli terhadap lingkungan</t>
  </si>
  <si>
    <t>Peserta didik cukup baik dalam memahami Statistika, Aturan Pencacahan, Persamaan Lingkaran, dan Turunan, tetapi masih kurang menganalisis dan mengevaluasi 2 kompetensi dasar</t>
  </si>
  <si>
    <t>Terampil dalam  memahami Statistika, Aturan Pencacahan, Persamaan Lingkaran, dan Turunan, tetapi masih kurang menganalisis dan mengevaluasi 2 kompetensi dasar</t>
  </si>
  <si>
    <t>Peserta didik sangat baik dalam  memahami Statistika, Aturan Pencacahan, Persamaan Lingkaran, dan Turunan, tetapi  masih kurang teliti pada salah satu kompetensi dasar</t>
  </si>
  <si>
    <t>Terampil  dalam memahami Statistika, Aturan Pencacahan, Persamaan Lingkaran, dan Turunan, tetapi  masih kurang teliti pada salah satu kompetensi dasar</t>
  </si>
  <si>
    <t>Terampil dalam  memahami Statistika, Aturan Pencacahan, Persamaan Lingkaran, dan Turunan, tetapi masih kurang mengevaluasi 2 kompetensi dasar</t>
  </si>
  <si>
    <t>Peserta didik baik dalam memahami Statistika, Aturan Pencacahan, Persamaan Lingkaran, dan Turunan, tetapi masih kurang mengevaluasi 2 kompetensi dasar</t>
  </si>
  <si>
    <t>Peserta didik baik sekali dalam memahami Statistika, Aturan Pencacahan, Persamaan Lingkaran, dan Turunan, tetapi masih kurang bisa mengevaluasi salah satu kompetensi dasar</t>
  </si>
  <si>
    <t>Terampil dalam  memahami Statistika, Aturan Pencacahan, Persamaan Lingkaran, dan Turunan, tetapi masih kurang bisa mengevaluasi salah satu kompetensi dasar</t>
  </si>
  <si>
    <t>Peserta didik sangat cukup dalam memahami Statistika, Aturan Pencacahan, Persamaan Lingkaran, dan Turunan, tetapi kurang bisa menganalisis dan mengevaluasi beberapa kompetensi dasar</t>
  </si>
  <si>
    <t>Peserta didik sudah baik sekali dalam Menganalisis Pergerakan nasional jaman Jepang, Menganalisis Peran Tokoh nasional dlm menegakkan NKRI, Menganalisis dampak pendudukan Jepang, , tetapi masih kurang bisa mengevaluasi salah satu kompetensi dasar</t>
  </si>
  <si>
    <t>Terampil dalam  Menganalisis Pergerakan nasional jaman Jepang, Menganalisis Peran Tokoh nasional dlm menegakkan NKRI, Menganalisis dampak pendudukan Jepang, , tetapi masih kurang mengevaluasi 2 kompetensi dasar</t>
  </si>
  <si>
    <t>Terampil  dalam Menganalisis Pergerakan nasional jaman Jepang, Menganalisis Peran Tokoh nasional dlm menegakkan NKRI, Menganalisis dampak pendudukan Jepang, , tetapi  masih kurang teliti pada salah satu kompetensi dasar</t>
  </si>
  <si>
    <t>Terampil dalam  Menganalisis Pergerakan nasional jaman Jepang, Menganalisis Peran Tokoh nasional dlm menegakkan NKRI, Menganalisis dampak pendudukan Jepang, , tetapi masih kurang bisa mengevaluasi salah satu kompetensi dasar</t>
  </si>
  <si>
    <t>Peserta didik sudah baik dalam Menganalisis Pergerakan nasional jaman Jepang, Menganalisis Peran Tokoh nasional dlm menegakkan NKRI, Menganalisis dampak pendudukan Jepang, , tetapi masih kurang mengevaluasi 2 kompetensi dasar</t>
  </si>
  <si>
    <t>Peserta didik sudah baik sekali dalam Produk dan pengemasan pengolahan, Proses produksi dan SDA yang dibutuhkan, Peluang usaha, Desain produk kosmetik, tetapi masih kurang bisa mengevaluasi salah satu kompetensi dasar</t>
  </si>
  <si>
    <t>Terampil dalam  Produk dan pengemasan pengolahan, Proses produksi dan SDA yang dibutuhkan, Peluang usaha, Desain produk kosmetik, tetapi masih kurang bisa mengevaluasi salah satu kompetensi dasar</t>
  </si>
  <si>
    <t>Peserta didik sudah sangat baik dalam  Produk dan pengemasan pengolahan, Proses produksi dan SDA yang dibutuhkan, Peluang usaha, Desain produk kosmetik, tetapi  masih kurang teliti pada salah satu kompetensi dasar</t>
  </si>
  <si>
    <t>Peserta didik sudah baik dalam Produk dan pengemasan pengolahan, Proses produksi dan SDA yang dibutuhkan, Peluang usaha, Desain produk kosmetik, tetapi masih kurang mengevaluasi 2 kompetensi dasar</t>
  </si>
  <si>
    <t>Peserta didik cukup sangat baik dalam Arus Bolak Balik, Medan Magnet, Cermin, Lensa, dan Alat Optik, Fisika Modern, tetapi masih kurang menganalisis dan mengevaluasi 2 kompetensi dasar</t>
  </si>
  <si>
    <t>Terampil dalam  Arus Bolak Balik, Medan Magnet, Cermin, Lensa, dan Alat Optik, Fisika Modern, tetapi masih kurang mengevaluasi 2 kompetensi dasar</t>
  </si>
  <si>
    <t>Peserta didik sudah sangat baik dalam  Arus Bolak Balik, Medan Magnet, Cermin, Lensa, dan Alat Optik, Fisika Modern, tetapi  masih kurang teliti pada salah satu kompetensi dasar</t>
  </si>
  <si>
    <t>Terampil  dalam Arus Bolak Balik, Medan Magnet, Cermin, Lensa, dan Alat Optik, Fisika Modern, tetapi  masih kurang teliti pada salah satu kompetensi dasar</t>
  </si>
  <si>
    <t>Peserta didik sudah baik dalam Arus Bolak Balik, Medan Magnet, Cermin, Lensa, dan Alat Optik, Fisika Modern, tetapi masih kurang mengevaluasi 2 kompetensi dasar</t>
  </si>
  <si>
    <t>Peserta didik sudah baik sekali dalam Arus Bolak Balik, Medan Magnet, Cermin, Lensa, dan Alat Optik, Fisika Modern, tetapi masih kurang bisa mengevaluasi salah satu kompetensi dasar</t>
  </si>
  <si>
    <t>Terampil dalam  Arus Bolak Balik, Medan Magnet, Cermin, Lensa, dan Alat Optik, Fisika Modern, tetapi masih kurang bisa mengevaluasi salah satu kompetensi dasar</t>
  </si>
  <si>
    <t>Peserta didik sudah baik sekali dalam Menganalisis fungsi sosial, struktur teks dan dan unsur kebahasaan dari teks prosedur berbentuk manual dan kiat kiat, Menganalisis fungsi sosial, struktur teks dan fungsi kebahasaan untuk menyatakan dan menanyakan tentang kegiatan, Menganalisis fungsi sosial, struktur teks dan unsur kebahasaan untuk menyatakan pengandaian, Menganalisis fungsi sosial, struktur teks dan unsur kebahasaanuntuk melaksanakan fungsi sosial teks factual report, tetapi masih kurang bisa mengevaluasi salah satu kompetensi dasar</t>
  </si>
  <si>
    <t>Terampil dalam  Menganalisis fungsi sosial, struktur teks dan dan unsur kebahasaan dari teks prosedur berbentuk manual dan kiat kiat, Menganalisis fungsi sosial, struktur teks dan fungsi kebahasaan untuk menyatakan dan menanyakan tentang kegiatan, Menganalisis fungsi sosial, struktur teks dan unsur kebahasaan untuk menyatakan pengandaian, Menganalisis fungsi sosial, struktur teks dan unsur kebahasaanuntuk melaksanakan fungsi sosial teks factual report, tetapi masih kurang bisa mengevaluasi salah satu kompetensi dasar</t>
  </si>
  <si>
    <t>Peserta didik sudah baik dalam memahami surah Ar-rum ayat 41-41, iman kepada kitab allah, hukum islam tentang pengurusan jenazah, khotbah jumat, tabigh, dan dakwah, tetapi masih kurang mengevaluasi 2 kompetensi dasar</t>
  </si>
  <si>
    <t>Terampil dalam  memahami surah Ar-rum ayat 41-41, iman kepada kitab allah, hukum islam tentang pengurusan jenazah, khotbah jumat, tabigh, dan dakwah, tetapi masih kurang bisa mengevaluasi salah satu kompetensi dasar</t>
  </si>
  <si>
    <t>Peserta didik sudah sangat baik dalam  memahami surah Ar-rum ayat 41-41, iman kepada kitab allah, hukum islam tentang pengurusan jenazah, khotbah jumat, tabigh, dan dakwah, tetapi  masih kurang teliti pada salah satu kompetensi dasar</t>
  </si>
  <si>
    <t>Terampil  dalam memahami surah Ar-rum ayat 41-41, iman kepada kitab allah, hukum islam tentang pengurusan jenazah, khotbah jumat, tabigh, dan dakwah, tetapi  masih kurang teliti pada salah satu kompetensi dasar</t>
  </si>
  <si>
    <t>Peserta didik sudah baik sekali dalam memahami surah Ar-rum ayat 41-41, iman kepada kitab allah, hukum islam tentang pengurusan jenazah, khotbah jumat, tabigh, dan dakwah, tetapi masih kurang bisa mengevaluasi salah satu kompetensi dasar</t>
  </si>
  <si>
    <t>Terampil dalam  memahami surah Ar-rum ayat 41-41, iman kepada kitab allah, hukum islam tentang pengurusan jenazah, khotbah jumat, tabigh, dan dakwah, tetapi masih kurang mengevaluasi 2 kompetensi dasar</t>
  </si>
  <si>
    <t>Peserta didik sudah baik dalam Hak dan Kewajiban Warga Negara, Integrasi Nasional, Konsep Geopolitik, Hakikat Budaya Politik, tetapi masih kurang mengevaluasi 2 kompetensi dasar</t>
  </si>
  <si>
    <t>Terampil dalam  Hak dan Kewajiban Warga Negara, Integrasi Nasional, Konsep Geopolitik, Hakikat Budaya Politik, tetapi masih kurang mengevaluasi 2 kompetensi dasar</t>
  </si>
  <si>
    <t>Peserta didik sudah sangat baik dalam  Hak dan Kewajiban Warga Negara, Integrasi Nasional, Konsep Geopolitik, Hakikat Budaya Politik, tetapi  masih kurang teliti pada salah satu kompetensi dasar</t>
  </si>
  <si>
    <t>Terampil  dalam Hak dan Kewajiban Warga Negara, Integrasi Nasional, Konsep Geopolitik, Hakikat Budaya Politik, tetapi  masih kurang teliti pada salah satu kompetensi dasar</t>
  </si>
  <si>
    <t>Terampil dalam  Hak dan Kewajiban Warga Negara, Integrasi Nasional, Konsep Geopolitik, Hakikat Budaya Politik, tetapi masih kurang bisa mengevaluasi salah satu kompetensi dasar</t>
  </si>
  <si>
    <t>Peserta didik sudah baik sekali dalam Hak dan Kewajiban Warga Negara, Integrasi Nasional, Konsep Geopolitik, Hakikat Budaya Politik, tetapi masih kurang bisa mengevaluasi salah satu kompetensi dasar</t>
  </si>
  <si>
    <t>Peserta didik sudah baik sekali dalam Tangga Nada, Akor, Notasi Musik, Pergelaran Musik, tetapi masih kurang bisa mengevaluasi salah satu kompetensi dasar</t>
  </si>
  <si>
    <t>Terampil dalam  Tangga Nada, Akor, Notasi Musik, Pergelaran Musik, tetapi masih kurang bisa mengevaluasi salah satu kompetensi dasar</t>
  </si>
  <si>
    <t>Peserta didik sudah sangat baik dalam  Tangga Nada, Akor, Notasi Musik, Pergelaran Musik, tetapi  masih kurang teliti pada salah satu kompetensi dasar</t>
  </si>
  <si>
    <t>Terampil  dalam Tangga Nada, Akor, Notasi Musik, Pergelaran Musik, tetapi  masih kurang teliti pada salah satu kompetensi dasar</t>
  </si>
  <si>
    <t>Peserta didik sudah baik dalam Bola volly, Renang, basket, lari, tetapi masih kurang mengevaluasi 2 kompetensi dasar</t>
  </si>
  <si>
    <t>Terampil dalam  Bola volly, Renang, basket, lari, tetapi masih kurang mengevaluasi 2 kompetensi dasar</t>
  </si>
  <si>
    <t>Peserta didik sudah baik sekali dalam Bola volly, Renang, basket, lari, tetapi masih kurang bisa mengevaluasi salah satu kompetensi dasar</t>
  </si>
  <si>
    <t>Terampil dalam  Bola volly, Renang, basket, lari, tetapi masih kurang bisa mengevaluasi salah satu kompetensi dasar</t>
  </si>
  <si>
    <t>Peserta didik sudah sangat baik dalam  Bola volly, Renang, basket, lari, tetapi  masih kurang teliti pada salah satu kompetensi dasar</t>
  </si>
  <si>
    <t>Peserta didik sudah baik dalam Peripheral Jaringan, Protokol komunikasi , Kinerja Input Output, Fungsi Kinerja Piranti Komputer Terapan, tetapi masih kurang mengevaluasi 2 kompetensi dasar</t>
  </si>
  <si>
    <t>Terampil dalam  Peripheral Jaringan, Protokol komunikasi , Kinerja Input Output, Fungsi Kinerja Piranti Komputer Terapan, tetapi masih kurang mengevaluasi 2 kompetensi dasar</t>
  </si>
  <si>
    <t>Peserta didik sudah baik sekali dalam Peripheral Jaringan, Protokol komunikasi , Kinerja Input Output, Fungsi Kinerja Piranti Komputer Terapan, tetapi masih kurang bisa mengevaluasi salah satu kompetensi dasar</t>
  </si>
  <si>
    <t>Terampil dalam  Peripheral Jaringan, Protokol komunikasi , Kinerja Input Output, Fungsi Kinerja Piranti Komputer Terapan, tetapi masih kurang bisa mengevaluasi salah satu kompetensi dasar</t>
  </si>
  <si>
    <t>Peserta didik sudah baik dalam Memahami diagram rangkaian operasi komunikasi VoIP, Memahami prosedur instalasi server softswitch berbasis session initial protocol (SIP), konfigurasi ekstensi dan dial plan server softswitch, , tetapi masih kurang mengevaluasi 2 kompetensi dasar</t>
  </si>
  <si>
    <t>Terampil dalam  Memahami diagram rangkaian operasi komunikasi VoIP, Memahami prosedur instalasi server softswitch berbasis session initial protocol (SIP), konfigurasi ekstensi dan dial plan server softswitch, , tetapi masih kurang mengevaluasi 2 kompetensi dasar</t>
  </si>
  <si>
    <t>Peserta didik sudah baik sekali dalam Memahami diagram rangkaian operasi komunikasi VoIP, Memahami prosedur instalasi server softswitch berbasis session initial protocol (SIP), konfigurasi ekstensi dan dial plan server softswitch, , tetapi masih kurang bisa mengevaluasi salah satu kompetensi dasar</t>
  </si>
  <si>
    <t>Terampil dalam  Memahami diagram rangkaian operasi komunikasi VoIP, Memahami prosedur instalasi server softswitch berbasis session initial protocol (SIP), konfigurasi ekstensi dan dial plan server softswitch, , tetapi masih kurang bisa mengevaluasi salah satu kompetensi dasar</t>
  </si>
  <si>
    <t>Peserta didik cukup sangat baik dalam Pointer, Fungsi, Bahasa Pemrograman pada Aplikasi Bisnis, , tetapi masih kurang menganalisis dan mengevaluasi 2 kompetensi dasar</t>
  </si>
  <si>
    <t>Terampil dalam  Pointer, Fungsi, Bahasa Pemrograman pada Aplikasi Bisnis, , tetapi masih kurang menganalisis dan mengevaluasi 2 kompetensi dasar</t>
  </si>
  <si>
    <t>Peserta didik sudah baik sekali dalam Pointer, Fungsi, Bahasa Pemrograman pada Aplikasi Bisnis, , tetapi masih kurang bisa mengevaluasi salah satu kompetensi dasar</t>
  </si>
  <si>
    <t>Terampil dalam  Pointer, Fungsi, Bahasa Pemrograman pada Aplikasi Bisnis, , tetapi masih kurang mengevaluasi 2 kompetensi dasar</t>
  </si>
  <si>
    <t>Terampil dalam  Pointer, Fungsi, Bahasa Pemrograman pada Aplikasi Bisnis, , tetapi masih kurang bisa mengevaluasi salah satu kompetensi dasar</t>
  </si>
  <si>
    <t>Peserta didik sudah baik dalam Pointer, Fungsi, Bahasa Pemrograman pada Aplikasi Bisnis, , tetapi masih kurang mengevaluasi 2 kompetensi dasar</t>
  </si>
  <si>
    <t>Peserta didik cukup sangat baik dalam FTP, Mail  / web Mail, NTP Server, Remote Server (Telnet, SSH) dan Proxy server, , , tetapi masih kurang menganalisis dan mengevaluasi 2 kompetensi dasar</t>
  </si>
  <si>
    <t>Terampil dalam  FTP, Mail  / web Mail, NTP Server, Remote Server (Telnet, SSH) dan Proxy server, , , tetapi masih kurang mengevaluasi 2 kompetensi dasar</t>
  </si>
  <si>
    <t>Peserta didik sudah baik sekali dalam FTP, Mail  / web Mail, NTP Server, Remote Server (Telnet, SSH) dan Proxy server, , , tetapi masih kurang bisa mengevaluasi salah satu kompetensi dasar</t>
  </si>
  <si>
    <t>Terampil dalam  FTP, Mail  / web Mail, NTP Server, Remote Server (Telnet, SSH) dan Proxy server, , , tetapi masih kurang bisa mengevaluasi salah satu kompetensi dasar</t>
  </si>
  <si>
    <t>Terampil  dalam FTP, Mail  / web Mail, NTP Server, Remote Server (Telnet, SSH) dan Proxy server, , , tetapi  masih kurang teliti pada salah satu kompetensi dasar</t>
  </si>
  <si>
    <t>Peserta didik sudah baik dalam FTP, Mail  / web Mail, NTP Server, Remote Server (Telnet, SSH) dan Proxy server, , , tetapi masih kurang mengevaluasi 2 kompetensi dasar</t>
  </si>
  <si>
    <t>Peserta didik sudah baik dalam Memahami Backup dan Restore basis data, Memahami cara pembuatan Grup dan User di Linux, Membuat Quota penyimpanan untuk user, dan troubleshooting SOJ, tetapi masih kurang mengevaluasi 2 kompetensi dasar</t>
  </si>
  <si>
    <t>Terampil dalam  Memahami Backup dan Restore basis data, Memahami cara pembuatan Grup dan User di Linux, Membuat Quota penyimpanan untuk user, dan troubleshooting SOJ, tetapi masih kurang bisa mengevaluasi salah satu kompetensi dasar</t>
  </si>
  <si>
    <t>Peserta didik sudah baik sekali dalam Memahami Backup dan Restore basis data, Memahami cara pembuatan Grup dan User di Linux, Membuat Quota penyimpanan untuk user, dan troubleshooting SOJ, tetapi masih kurang bisa mengevaluasi salah satu kompetensi dasar</t>
  </si>
  <si>
    <t>Terampil dalam  Memahami Backup dan Restore basis data, Memahami cara pembuatan Grup dan User di Linux, Membuat Quota penyimpanan untuk user, dan troubleshooting SOJ, tetapi masih kurang mengevaluasi 2 kompetensi dasar</t>
  </si>
  <si>
    <t>Peserta didik sudah baik sekali dalam Analisis Macam-macam kerusakan lingkungan, Penilaian Macam-macam kerusakan lingkungan, Upaya pencegahan dan penanggulangan kerusakan lingkungan, , tetapi masih kurang bisa mengevaluasi salah satu kompetensi dasar</t>
  </si>
  <si>
    <t>Terampil  dalam Analisis Macam-macam kerusakan lingkungan, Penilaian Macam-macam kerusakan lingkungan, Upaya pencegahan dan penanggulangan kerusakan lingkungan, , tetapi  masih kurang teliti pada salah satu kompetensi dasar</t>
  </si>
  <si>
    <t>Peserta didik sudah sangat baik dalam  Analisis Macam-macam kerusakan lingkungan, Penilaian Macam-macam kerusakan lingkungan, Upaya pencegahan dan penanggulangan kerusakan lingkungan, , tetapi  masih kurang teliti pada salah satu kompetensi dasar</t>
  </si>
  <si>
    <t>Terampil dalam  Analisis Macam-macam kerusakan lingkungan, Penilaian Macam-macam kerusakan lingkungan, Upaya pencegahan dan penanggulangan kerusakan lingkungan, , tetapi masih kurang bisa mengevaluasi salah satu kompetensi dasar</t>
  </si>
  <si>
    <t>Peserta didik sudah baik dalam  Memahami dan menganalisis kaidah dan simbol-simbol yang digunakan pada flowchart atau struktogram, Memahami organisasi prosesor, register, dan siklus instruksi (fetching, decoding, executing), Memahami Struktur CPU dan fungsi CPU, Memahami karakteristik  Set Instruksi (operand dan operasi), tetapi masih kurang mengevaluasi 2 kompetensi dasar</t>
  </si>
  <si>
    <t>Terampil dalam   Memahami dan menganalisis kaidah dan simbol-simbol yang digunakan pada flowchart atau struktogram, Memahami organisasi prosesor, register, dan siklus instruksi (fetching, decoding, executing), Memahami Struktur CPU dan fungsi CPU, Memahami karakteristik  Set Instruksi (operand dan operasi), tetapi masih kurang mengevaluasi 2 kompetensi dasar</t>
  </si>
  <si>
    <t>Peserta didik sudah baik sekali dalam  Memahami dan menganalisis kaidah dan simbol-simbol yang digunakan pada flowchart atau struktogram, Memahami organisasi prosesor, register, dan siklus instruksi (fetching, decoding, executing), Memahami Struktur CPU dan fungsi CPU, Memahami karakteristik  Set Instruksi (operand dan operasi), tetapi masih kurang bisa mengevaluasi salah satu kompetensi dasar</t>
  </si>
  <si>
    <t>Terampil dalam   Memahami dan menganalisis kaidah dan simbol-simbol yang digunakan pada flowchart atau struktogram, Memahami organisasi prosesor, register, dan siklus instruksi (fetching, decoding, executing), Memahami Struktur CPU dan fungsi CPU, Memahami karakteristik  Set Instruksi (operand dan operasi), tetapi masih kurang bisa mengevaluasi salah satu kompetensi dasar</t>
  </si>
  <si>
    <t>Peserta didik sudah baik dalam Memahami konfigurasi Peralatan-peralatan Jaringan, Memahami Routing jaringan   computer, Memahami eksplorasi infrastruktur jaringan perusahaan, Menganalisa Perencanaan struktur pengalamatan, tetapi masih kurang mengevaluasi 2 kompetensi dasar</t>
  </si>
  <si>
    <t>Terampil dalam  Memahami konfigurasi Peralatan-peralatan Jaringan, Memahami Routing jaringan   computer, Memahami eksplorasi infrastruktur jaringan perusahaan, Menganalisa Perencanaan struktur pengalamatan, tetapi masih kurang mengevaluasi 2 kompetensi dasar</t>
  </si>
  <si>
    <t>Peserta didik sudah baik sekali dalam Memahami konfigurasi Peralatan-peralatan Jaringan, Memahami Routing jaringan   computer, Memahami eksplorasi infrastruktur jaringan perusahaan, Menganalisa Perencanaan struktur pengalamatan, tetapi masih kurang bisa mengevaluasi salah satu kompetensi dasar</t>
  </si>
  <si>
    <t>Terampil dalam  Memahami konfigurasi Peralatan-peralatan Jaringan, Memahami Routing jaringan   computer, Memahami eksplorasi infrastruktur jaringan perusahaan, Menganalisa Perencanaan struktur pengalamatan, tetapi masih kurang bisa mengevaluasi salah satu kompetensi dasar</t>
  </si>
  <si>
    <t>FUTSAL</t>
  </si>
  <si>
    <t>aktif dalam mengikuti kegiatan pengembangan diri sesuai pilihannya</t>
  </si>
  <si>
    <t>aktif dalam mengikuti organisasi di sekolah</t>
  </si>
  <si>
    <t>siswa belum dapat mengikuti dan memahami semua pelajaran dengan baik</t>
  </si>
  <si>
    <t>siswa sudah dapat mengikuti semua pelajaran dengan baik</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</si>
</sst>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1" formatCode="_(* #,##0_);_(* \(#,##0\);_(* &quot;-&quot;_);_(@_)"/>
    <numFmt numFmtId="43" formatCode="_(* #,##0.00_);_(* \(#,##0.00\);_(* &quot;-&quot;??_);_(@_)"/>
    <numFmt numFmtId="164" formatCode="_-* #,##0_-;\-* #,##0_-;_-* &quot;-&quot;_-;_-@_-"/>
    <numFmt numFmtId="165" formatCode="_-* #,##0.00_-;\-* #,##0.00_-;_-* &quot;-&quot;??_-;_-@_-"/>
    <numFmt numFmtId="166" formatCode="General_)"/>
    <numFmt numFmtId="167" formatCode="dd\ mmmm\ yyyy"/>
  </numFmts>
  <fonts count="83" x14ac:knownFonts="1">
    <font>
      <sz val="11"/>
      <color theme="1"/>
      <name val="Calibri"/>
      <family val="2"/>
      <charset val="1"/>
      <scheme val="minor"/>
    </font>
    <font>
      <sz val="11"/>
      <color theme="1"/>
      <name val="Calibri"/>
      <family val="2"/>
      <scheme val="minor"/>
    </font>
    <font>
      <sz val="11"/>
      <color theme="1"/>
      <name val="Calibri"/>
      <family val="2"/>
      <scheme val="minor"/>
    </font>
    <font>
      <sz val="14"/>
      <color rgb="FF000000"/>
      <name val="Arial"/>
      <family val="2"/>
    </font>
    <font>
      <sz val="14"/>
      <color theme="1"/>
      <name val="Arial"/>
      <family val="2"/>
    </font>
    <font>
      <i/>
      <sz val="14"/>
      <color theme="1"/>
      <name val="Arial"/>
      <family val="2"/>
    </font>
    <font>
      <u/>
      <sz val="11"/>
      <color theme="10"/>
      <name val="Calibri"/>
      <family val="2"/>
      <charset val="1"/>
    </font>
    <font>
      <b/>
      <sz val="16"/>
      <color theme="1"/>
      <name val="Arial"/>
      <family val="2"/>
    </font>
    <font>
      <sz val="11"/>
      <color theme="1"/>
      <name val="Arial"/>
      <family val="2"/>
    </font>
    <font>
      <b/>
      <sz val="11"/>
      <color theme="1"/>
      <name val="Arial"/>
      <family val="2"/>
    </font>
    <font>
      <b/>
      <sz val="14"/>
      <color theme="1"/>
      <name val="Arial"/>
      <family val="2"/>
    </font>
    <font>
      <b/>
      <sz val="9"/>
      <color theme="0"/>
      <name val="Arial"/>
      <family val="2"/>
    </font>
    <font>
      <sz val="9"/>
      <name val="Arial"/>
      <family val="2"/>
    </font>
    <font>
      <sz val="9"/>
      <name val="Calibri"/>
      <family val="2"/>
    </font>
    <font>
      <sz val="9"/>
      <name val="Arial"/>
      <family val="2"/>
    </font>
    <font>
      <sz val="10"/>
      <name val="Helv"/>
    </font>
    <font>
      <sz val="9"/>
      <name val="Calibri"/>
      <family val="2"/>
      <scheme val="minor"/>
    </font>
    <font>
      <b/>
      <sz val="8"/>
      <color indexed="81"/>
      <name val="Tahoma"/>
      <family val="2"/>
    </font>
    <font>
      <sz val="8"/>
      <color indexed="81"/>
      <name val="Tahoma"/>
      <family val="2"/>
    </font>
    <font>
      <sz val="10"/>
      <name val="Arial"/>
      <family val="2"/>
    </font>
    <font>
      <b/>
      <sz val="14"/>
      <color rgb="FFFFFF00"/>
      <name val="Calibri"/>
      <family val="2"/>
      <scheme val="minor"/>
    </font>
    <font>
      <sz val="14"/>
      <color theme="1"/>
      <name val="Calibri"/>
      <family val="2"/>
      <charset val="1"/>
      <scheme val="minor"/>
    </font>
    <font>
      <sz val="26"/>
      <color theme="1"/>
      <name val="Calibri"/>
      <family val="2"/>
      <charset val="1"/>
      <scheme val="minor"/>
    </font>
    <font>
      <sz val="36"/>
      <color theme="1"/>
      <name val="Calibri"/>
      <family val="2"/>
      <charset val="1"/>
      <scheme val="minor"/>
    </font>
    <font>
      <sz val="9"/>
      <color theme="0"/>
      <name val="Arial"/>
      <family val="2"/>
    </font>
    <font>
      <sz val="10"/>
      <color theme="0"/>
      <name val="Arial"/>
      <family val="2"/>
    </font>
    <font>
      <sz val="11"/>
      <color theme="0"/>
      <name val="Calibri"/>
      <family val="2"/>
      <charset val="1"/>
      <scheme val="minor"/>
    </font>
    <font>
      <sz val="11"/>
      <color theme="8" tint="0.39997558519241921"/>
      <name val="Calibri"/>
      <family val="2"/>
      <charset val="1"/>
      <scheme val="minor"/>
    </font>
    <font>
      <sz val="11"/>
      <color theme="1"/>
      <name val="Calibri"/>
      <family val="2"/>
      <scheme val="minor"/>
    </font>
    <font>
      <b/>
      <sz val="9"/>
      <color theme="1"/>
      <name val="Arial"/>
      <family val="2"/>
    </font>
    <font>
      <sz val="9"/>
      <color theme="1"/>
      <name val="Arial"/>
      <family val="2"/>
    </font>
    <font>
      <sz val="10"/>
      <color theme="1"/>
      <name val="Arial"/>
      <family val="2"/>
    </font>
    <font>
      <b/>
      <sz val="10"/>
      <color theme="1"/>
      <name val="Arial"/>
      <family val="2"/>
    </font>
    <font>
      <sz val="9"/>
      <color theme="1"/>
      <name val="Calibri"/>
      <family val="2"/>
      <charset val="1"/>
      <scheme val="minor"/>
    </font>
    <font>
      <u/>
      <sz val="11"/>
      <color theme="0"/>
      <name val="Calibri"/>
      <family val="2"/>
      <charset val="1"/>
    </font>
    <font>
      <sz val="11"/>
      <color rgb="FFFF0000"/>
      <name val="Calibri"/>
      <family val="2"/>
      <charset val="1"/>
      <scheme val="minor"/>
    </font>
    <font>
      <sz val="9"/>
      <color rgb="FFFF0000"/>
      <name val="Arial"/>
      <family val="2"/>
    </font>
    <font>
      <sz val="9"/>
      <color rgb="FFFF0000"/>
      <name val="Calibri"/>
      <family val="2"/>
    </font>
    <font>
      <sz val="9"/>
      <color rgb="FFFF0000"/>
      <name val="Calibri"/>
      <family val="2"/>
      <scheme val="minor"/>
    </font>
    <font>
      <sz val="9"/>
      <color theme="0"/>
      <name val="Calibri"/>
      <family val="2"/>
    </font>
    <font>
      <b/>
      <sz val="14"/>
      <color theme="1"/>
      <name val="Calibri"/>
      <family val="2"/>
      <charset val="1"/>
      <scheme val="minor"/>
    </font>
    <font>
      <sz val="14"/>
      <color theme="8" tint="0.79998168889431442"/>
      <name val="Calibri"/>
      <family val="2"/>
      <charset val="1"/>
      <scheme val="minor"/>
    </font>
    <font>
      <b/>
      <u/>
      <sz val="14"/>
      <color theme="8" tint="0.79998168889431442"/>
      <name val="Calibri"/>
      <family val="2"/>
    </font>
    <font>
      <b/>
      <sz val="14"/>
      <color theme="8" tint="0.79998168889431442"/>
      <name val="Calibri"/>
      <family val="2"/>
      <scheme val="minor"/>
    </font>
    <font>
      <b/>
      <sz val="16"/>
      <color rgb="FFFFFF00"/>
      <name val="Calibri"/>
      <family val="2"/>
      <charset val="1"/>
      <scheme val="minor"/>
    </font>
    <font>
      <b/>
      <u/>
      <sz val="14"/>
      <color theme="4" tint="0.79998168889431442"/>
      <name val="Calibri"/>
      <family val="2"/>
    </font>
    <font>
      <b/>
      <sz val="11"/>
      <color theme="1"/>
      <name val="Calibri"/>
      <family val="2"/>
      <scheme val="minor"/>
    </font>
    <font>
      <b/>
      <sz val="20"/>
      <color theme="1"/>
      <name val="Calibri"/>
      <family val="2"/>
      <scheme val="minor"/>
    </font>
    <font>
      <b/>
      <sz val="26"/>
      <color theme="1"/>
      <name val="Calibri"/>
      <family val="2"/>
      <scheme val="minor"/>
    </font>
    <font>
      <sz val="18"/>
      <color theme="1"/>
      <name val="Calibri"/>
      <family val="2"/>
      <scheme val="minor"/>
    </font>
    <font>
      <i/>
      <sz val="12"/>
      <color theme="1"/>
      <name val="Calibri"/>
      <family val="2"/>
      <scheme val="minor"/>
    </font>
    <font>
      <sz val="11"/>
      <name val="Calibri"/>
      <family val="2"/>
      <charset val="1"/>
      <scheme val="minor"/>
    </font>
    <font>
      <b/>
      <sz val="9"/>
      <color theme="1"/>
      <name val="Calibri"/>
      <family val="2"/>
      <charset val="1"/>
      <scheme val="minor"/>
    </font>
    <font>
      <b/>
      <sz val="18"/>
      <color theme="1"/>
      <name val="Arial"/>
      <family val="2"/>
    </font>
    <font>
      <sz val="14"/>
      <name val="Arial"/>
      <family val="2"/>
    </font>
    <font>
      <b/>
      <sz val="16"/>
      <color theme="0"/>
      <name val="Arial"/>
      <family val="2"/>
    </font>
    <font>
      <b/>
      <sz val="12"/>
      <color theme="1"/>
      <name val="Calibri"/>
      <family val="2"/>
      <charset val="1"/>
      <scheme val="minor"/>
    </font>
    <font>
      <b/>
      <sz val="18"/>
      <color theme="1"/>
      <name val="Calibri"/>
      <family val="2"/>
      <scheme val="minor"/>
    </font>
    <font>
      <sz val="11"/>
      <color theme="0"/>
      <name val="Arial"/>
      <family val="2"/>
    </font>
    <font>
      <b/>
      <sz val="11"/>
      <name val="Arial"/>
      <family val="2"/>
    </font>
    <font>
      <sz val="11"/>
      <color theme="1"/>
      <name val="Calibri"/>
      <family val="2"/>
      <charset val="1"/>
      <scheme val="minor"/>
    </font>
    <font>
      <sz val="10"/>
      <color theme="1"/>
      <name val="Tahoma"/>
      <family val="2"/>
    </font>
    <font>
      <sz val="11"/>
      <color indexed="8"/>
      <name val="Calibri"/>
      <family val="2"/>
    </font>
    <font>
      <sz val="12"/>
      <name val="Arial"/>
      <family val="2"/>
    </font>
    <font>
      <sz val="10"/>
      <name val="Tahoma"/>
      <family val="2"/>
    </font>
    <font>
      <b/>
      <sz val="14"/>
      <name val="Tahoma"/>
      <family val="2"/>
    </font>
    <font>
      <u/>
      <sz val="10"/>
      <color indexed="12"/>
      <name val="Arial"/>
      <family val="2"/>
    </font>
    <font>
      <b/>
      <sz val="18"/>
      <name val="Tahoma"/>
      <family val="2"/>
    </font>
    <font>
      <b/>
      <sz val="12"/>
      <name val="Tahoma"/>
      <family val="2"/>
    </font>
    <font>
      <sz val="12"/>
      <color theme="1"/>
      <name val="Cambria"/>
      <family val="2"/>
      <charset val="1"/>
    </font>
    <font>
      <sz val="10"/>
      <name val="Arial"/>
      <family val="2"/>
    </font>
    <font>
      <b/>
      <sz val="18"/>
      <color rgb="FFFFC000"/>
      <name val="Calibri"/>
      <family val="2"/>
      <scheme val="minor"/>
    </font>
    <font>
      <b/>
      <sz val="20"/>
      <color theme="1"/>
      <name val="Baskerville Old Face"/>
      <family val="1"/>
    </font>
    <font>
      <b/>
      <sz val="14"/>
      <color rgb="FFC00000"/>
      <name val="Calibri"/>
      <family val="2"/>
      <scheme val="minor"/>
    </font>
    <font>
      <b/>
      <sz val="12"/>
      <color theme="1"/>
      <name val="Calibri"/>
      <family val="2"/>
      <scheme val="minor"/>
    </font>
    <font>
      <b/>
      <sz val="14"/>
      <color theme="1"/>
      <name val="Calibri"/>
      <family val="2"/>
      <scheme val="minor"/>
    </font>
    <font>
      <b/>
      <u/>
      <sz val="14"/>
      <color theme="0"/>
      <name val="Calibri"/>
      <family val="2"/>
    </font>
    <font>
      <sz val="11"/>
      <color rgb="FF000000"/>
      <name val="Cambria"/>
      <family val="1"/>
    </font>
    <font>
      <b/>
      <sz val="12"/>
      <color theme="1"/>
      <name val="Arial Narrow"/>
      <family val="2"/>
    </font>
    <font>
      <sz val="12"/>
      <color theme="1"/>
      <name val="Arial Narrow"/>
      <family val="2"/>
    </font>
    <font>
      <b/>
      <sz val="8"/>
      <name val="Times New Roman"/>
      <family val="1"/>
    </font>
    <font>
      <sz val="8"/>
      <name val="Times New Roman"/>
      <family val="1"/>
    </font>
    <font>
      <sz val="10"/>
      <name val="Arial"/>
    </font>
  </fonts>
  <fills count="27">
    <fill>
      <patternFill patternType="none"/>
    </fill>
    <fill>
      <patternFill patternType="gray125"/>
    </fill>
    <fill>
      <patternFill patternType="solid">
        <fgColor theme="8" tint="-0.249977111117893"/>
        <bgColor indexed="64"/>
      </patternFill>
    </fill>
    <fill>
      <patternFill patternType="solid">
        <fgColor rgb="FFFFC000"/>
        <bgColor indexed="64"/>
      </patternFill>
    </fill>
    <fill>
      <patternFill patternType="solid">
        <fgColor rgb="FFFFFF99"/>
        <bgColor indexed="64"/>
      </patternFill>
    </fill>
    <fill>
      <patternFill patternType="solid">
        <fgColor theme="0"/>
        <bgColor indexed="64"/>
      </patternFill>
    </fill>
    <fill>
      <patternFill patternType="solid">
        <fgColor theme="6" tint="0.59999389629810485"/>
        <bgColor indexed="64"/>
      </patternFill>
    </fill>
    <fill>
      <patternFill patternType="solid">
        <fgColor theme="1"/>
        <bgColor indexed="64"/>
      </patternFill>
    </fill>
    <fill>
      <patternFill patternType="solid">
        <fgColor rgb="FF92D050"/>
        <bgColor indexed="64"/>
      </patternFill>
    </fill>
    <fill>
      <patternFill patternType="solid">
        <fgColor rgb="FFFF0000"/>
        <bgColor indexed="64"/>
      </patternFill>
    </fill>
    <fill>
      <patternFill patternType="solid">
        <fgColor rgb="FF00B050"/>
        <bgColor indexed="64"/>
      </patternFill>
    </fill>
    <fill>
      <patternFill patternType="solid">
        <fgColor theme="0" tint="-0.14999847407452621"/>
        <bgColor indexed="64"/>
      </patternFill>
    </fill>
    <fill>
      <patternFill patternType="solid">
        <fgColor rgb="FF00B0F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499984740745262"/>
        <bgColor indexed="64"/>
      </patternFill>
    </fill>
    <fill>
      <patternFill patternType="solid">
        <fgColor theme="9" tint="-0.249977111117893"/>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rgb="FFFFFFFF"/>
        <bgColor indexed="64"/>
      </patternFill>
    </fill>
    <fill>
      <patternFill patternType="solid">
        <fgColor rgb="FFFFFF00"/>
        <bgColor indexed="64"/>
      </patternFill>
    </fill>
    <fill>
      <patternFill patternType="solid">
        <fgColor theme="7" tint="-0.249977111117893"/>
        <bgColor indexed="64"/>
      </patternFill>
    </fill>
    <fill>
      <patternFill patternType="solid">
        <fgColor theme="7" tint="0.39997558519241921"/>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right/>
      <top style="thin">
        <color indexed="64"/>
      </top>
      <bottom style="hair">
        <color indexed="64"/>
      </bottom>
      <diagonal/>
    </border>
    <border>
      <left/>
      <right/>
      <top style="hair">
        <color indexed="64"/>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top style="hair">
        <color indexed="64"/>
      </top>
      <bottom/>
      <diagonal/>
    </border>
    <border>
      <left/>
      <right style="thin">
        <color indexed="64"/>
      </right>
      <top style="hair">
        <color indexed="64"/>
      </top>
      <bottom/>
      <diagonal/>
    </border>
    <border>
      <left/>
      <right/>
      <top style="hair">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indexed="64"/>
      </top>
      <bottom style="medium">
        <color rgb="FF000000"/>
      </bottom>
      <diagonal/>
    </border>
    <border>
      <left/>
      <right/>
      <top style="double">
        <color indexed="64"/>
      </top>
      <bottom/>
      <diagonal/>
    </border>
    <border>
      <left/>
      <right/>
      <top/>
      <bottom style="double">
        <color indexed="64"/>
      </bottom>
      <diagonal/>
    </border>
  </borders>
  <cellStyleXfs count="1334">
    <xf numFmtId="0" fontId="0" fillId="0" borderId="0"/>
    <xf numFmtId="0" fontId="6" fillId="0" borderId="0" applyNumberFormat="0" applyFill="0" applyBorder="0" applyAlignment="0" applyProtection="0">
      <alignment vertical="top"/>
      <protection locked="0"/>
    </xf>
    <xf numFmtId="0" fontId="15" fillId="0" borderId="0"/>
    <xf numFmtId="0" fontId="2" fillId="0" borderId="0"/>
    <xf numFmtId="41" fontId="2" fillId="0" borderId="0" applyFont="0" applyFill="0" applyBorder="0" applyAlignment="0" applyProtection="0"/>
    <xf numFmtId="41" fontId="19" fillId="0" borderId="0" applyFont="0" applyFill="0" applyBorder="0" applyAlignment="0" applyProtection="0"/>
    <xf numFmtId="0" fontId="66" fillId="0" borderId="0" applyNumberFormat="0" applyFill="0" applyBorder="0" applyAlignment="0" applyProtection="0">
      <alignment vertical="top"/>
      <protection locked="0"/>
    </xf>
    <xf numFmtId="0" fontId="19" fillId="0" borderId="0"/>
    <xf numFmtId="0" fontId="63" fillId="0" borderId="0"/>
    <xf numFmtId="0" fontId="19" fillId="0" borderId="0"/>
    <xf numFmtId="0" fontId="19" fillId="0" borderId="0"/>
    <xf numFmtId="9" fontId="62" fillId="0" borderId="0" applyFont="0" applyFill="0" applyBorder="0" applyAlignment="0" applyProtection="0"/>
    <xf numFmtId="0" fontId="2" fillId="0" borderId="0"/>
    <xf numFmtId="164" fontId="62" fillId="0" borderId="0" applyFont="0" applyFill="0" applyBorder="0" applyAlignment="0" applyProtection="0"/>
    <xf numFmtId="164" fontId="62" fillId="0" borderId="0" applyFont="0" applyFill="0" applyBorder="0" applyAlignment="0" applyProtection="0"/>
    <xf numFmtId="164" fontId="19" fillId="0" borderId="0" applyFont="0" applyFill="0" applyBorder="0" applyAlignment="0" applyProtection="0"/>
    <xf numFmtId="164" fontId="19" fillId="0" borderId="0" applyFont="0" applyFill="0" applyBorder="0" applyAlignment="0" applyProtection="0"/>
    <xf numFmtId="164" fontId="19"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164" fontId="6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9" fillId="0" borderId="0"/>
    <xf numFmtId="0" fontId="63" fillId="0" borderId="0"/>
    <xf numFmtId="0" fontId="19" fillId="0" borderId="0"/>
    <xf numFmtId="0" fontId="63" fillId="0" borderId="0"/>
    <xf numFmtId="0" fontId="63" fillId="0" borderId="0"/>
    <xf numFmtId="0" fontId="19"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19" fillId="0" borderId="0"/>
    <xf numFmtId="0" fontId="63" fillId="0" borderId="0"/>
    <xf numFmtId="0" fontId="19" fillId="0" borderId="0"/>
    <xf numFmtId="0" fontId="19" fillId="0" borderId="0"/>
    <xf numFmtId="0" fontId="63" fillId="0" borderId="0"/>
    <xf numFmtId="0" fontId="19" fillId="0" borderId="0"/>
    <xf numFmtId="0" fontId="19" fillId="0" borderId="0"/>
    <xf numFmtId="0" fontId="19" fillId="0" borderId="0"/>
    <xf numFmtId="0" fontId="19" fillId="0" borderId="0"/>
    <xf numFmtId="0" fontId="19" fillId="0" borderId="0"/>
    <xf numFmtId="0" fontId="19" fillId="0" borderId="0"/>
    <xf numFmtId="0" fontId="2" fillId="0" borderId="0"/>
    <xf numFmtId="0" fontId="2" fillId="0" borderId="0"/>
    <xf numFmtId="0" fontId="2" fillId="0" borderId="0"/>
    <xf numFmtId="0" fontId="2" fillId="0" borderId="0"/>
    <xf numFmtId="0" fontId="2"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2"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2" fillId="0" borderId="0"/>
    <xf numFmtId="0" fontId="2"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164"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4" fontId="62" fillId="0" borderId="0" applyFont="0" applyFill="0" applyBorder="0" applyAlignment="0" applyProtection="0"/>
    <xf numFmtId="165" fontId="62" fillId="0" borderId="0" applyFont="0" applyFill="0" applyBorder="0" applyAlignment="0" applyProtection="0"/>
    <xf numFmtId="165" fontId="62"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60" fillId="0" borderId="0"/>
    <xf numFmtId="0" fontId="60" fillId="0" borderId="0"/>
    <xf numFmtId="0" fontId="60" fillId="0" borderId="0"/>
    <xf numFmtId="0" fontId="60" fillId="0" borderId="0"/>
    <xf numFmtId="0" fontId="60" fillId="0" borderId="0"/>
    <xf numFmtId="0" fontId="19" fillId="0" borderId="0"/>
    <xf numFmtId="0" fontId="19" fillId="0" borderId="0"/>
    <xf numFmtId="0" fontId="60" fillId="0" borderId="0"/>
    <xf numFmtId="0" fontId="60" fillId="0" borderId="0"/>
    <xf numFmtId="0" fontId="60" fillId="0" borderId="0"/>
    <xf numFmtId="0" fontId="60" fillId="0" borderId="0"/>
    <xf numFmtId="0" fontId="60" fillId="0" borderId="0"/>
    <xf numFmtId="0" fontId="60" fillId="0" borderId="0"/>
    <xf numFmtId="0" fontId="19" fillId="0" borderId="0"/>
    <xf numFmtId="0" fontId="60" fillId="0" borderId="0"/>
    <xf numFmtId="0" fontId="60" fillId="0" borderId="0"/>
    <xf numFmtId="0" fontId="60" fillId="0" borderId="0"/>
    <xf numFmtId="0" fontId="1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2" fillId="0" borderId="0"/>
    <xf numFmtId="0" fontId="82" fillId="0" borderId="0"/>
    <xf numFmtId="0" fontId="82" fillId="0" borderId="0"/>
    <xf numFmtId="0" fontId="82" fillId="0" borderId="0"/>
    <xf numFmtId="0" fontId="82" fillId="0" borderId="0"/>
    <xf numFmtId="0" fontId="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2" fillId="0" borderId="0"/>
    <xf numFmtId="0" fontId="82" fillId="0" borderId="0"/>
  </cellStyleXfs>
  <cellXfs count="549">
    <xf numFmtId="0" fontId="0" fillId="0" borderId="0" xfId="0"/>
    <xf numFmtId="0" fontId="3" fillId="0" borderId="0" xfId="0" applyFont="1"/>
    <xf numFmtId="0" fontId="4" fillId="0" borderId="0" xfId="0" applyFont="1"/>
    <xf numFmtId="0" fontId="5" fillId="0" borderId="0" xfId="0" applyFont="1"/>
    <xf numFmtId="0" fontId="8" fillId="0" borderId="0" xfId="0" applyFont="1"/>
    <xf numFmtId="0" fontId="9" fillId="0" borderId="0" xfId="0" applyFont="1" applyAlignment="1">
      <alignment horizontal="center"/>
    </xf>
    <xf numFmtId="0" fontId="0" fillId="0" borderId="0" xfId="0" applyAlignment="1">
      <alignment horizontal="center"/>
    </xf>
    <xf numFmtId="0" fontId="11" fillId="2" borderId="1" xfId="0" applyFont="1" applyFill="1" applyBorder="1" applyAlignment="1" applyProtection="1">
      <alignment horizontal="center" vertical="center" wrapText="1"/>
    </xf>
    <xf numFmtId="0" fontId="11" fillId="2" borderId="2" xfId="0" applyFont="1" applyFill="1" applyBorder="1" applyAlignment="1" applyProtection="1">
      <alignment horizontal="center" vertical="center" wrapText="1"/>
    </xf>
    <xf numFmtId="49" fontId="11" fillId="2" borderId="1" xfId="0" applyNumberFormat="1" applyFont="1" applyFill="1" applyBorder="1" applyAlignment="1" applyProtection="1">
      <alignment horizontal="center" vertical="center" wrapText="1"/>
    </xf>
    <xf numFmtId="0" fontId="13" fillId="4" borderId="1" xfId="0" applyFont="1" applyFill="1" applyBorder="1" applyProtection="1">
      <protection locked="0"/>
    </xf>
    <xf numFmtId="0" fontId="8" fillId="0" borderId="0" xfId="0" applyFont="1" applyAlignment="1">
      <alignment horizontal="left"/>
    </xf>
    <xf numFmtId="0" fontId="9" fillId="0" borderId="0" xfId="0" applyFont="1" applyAlignment="1"/>
    <xf numFmtId="0" fontId="0" fillId="0" borderId="0" xfId="0" applyAlignment="1"/>
    <xf numFmtId="0" fontId="8" fillId="0" borderId="0" xfId="0" applyFont="1" applyAlignment="1">
      <alignment horizontal="right" vertical="center"/>
    </xf>
    <xf numFmtId="0" fontId="8" fillId="0" borderId="0" xfId="0" applyFont="1" applyAlignment="1">
      <alignment vertical="center"/>
    </xf>
    <xf numFmtId="0" fontId="8" fillId="0" borderId="0" xfId="0" applyFont="1" applyAlignment="1">
      <alignment vertical="top"/>
    </xf>
    <xf numFmtId="0" fontId="8" fillId="0" borderId="0" xfId="0" applyFont="1" applyAlignment="1">
      <alignment horizontal="left" vertical="top"/>
    </xf>
    <xf numFmtId="0" fontId="8" fillId="0" borderId="0" xfId="0" applyFont="1" applyAlignment="1">
      <alignment horizontal="right" vertical="top"/>
    </xf>
    <xf numFmtId="0" fontId="8" fillId="0" borderId="0" xfId="0" applyFont="1" applyAlignment="1">
      <alignment horizontal="left" vertical="top" wrapText="1"/>
    </xf>
    <xf numFmtId="0" fontId="0" fillId="0" borderId="0" xfId="0" applyBorder="1" applyAlignment="1">
      <alignment horizontal="left" vertical="center"/>
    </xf>
    <xf numFmtId="0" fontId="26" fillId="0" borderId="0" xfId="0" applyFont="1"/>
    <xf numFmtId="0" fontId="28" fillId="0" borderId="0" xfId="0" applyFont="1" applyAlignment="1">
      <alignment wrapText="1"/>
    </xf>
    <xf numFmtId="0" fontId="28" fillId="0" borderId="0" xfId="0" applyFont="1" applyBorder="1" applyAlignment="1">
      <alignment wrapText="1"/>
    </xf>
    <xf numFmtId="0" fontId="29" fillId="0" borderId="1" xfId="0" applyFont="1" applyBorder="1" applyAlignment="1">
      <alignment horizontal="center" vertical="center" wrapText="1"/>
    </xf>
    <xf numFmtId="0" fontId="0" fillId="0" borderId="0" xfId="0" applyAlignment="1">
      <alignment horizontal="left" vertical="center"/>
    </xf>
    <xf numFmtId="0" fontId="0" fillId="0" borderId="0" xfId="0" applyAlignment="1">
      <alignment horizontal="left" vertical="center" wrapText="1"/>
    </xf>
    <xf numFmtId="0" fontId="30" fillId="0" borderId="2" xfId="0" applyFont="1" applyBorder="1" applyAlignment="1">
      <alignment vertical="top" wrapText="1"/>
    </xf>
    <xf numFmtId="0" fontId="0" fillId="0" borderId="0" xfId="0" applyAlignment="1">
      <alignment vertical="top"/>
    </xf>
    <xf numFmtId="0" fontId="29" fillId="0" borderId="24" xfId="0" applyFont="1" applyBorder="1" applyAlignment="1">
      <alignment horizontal="center" vertical="center" wrapText="1"/>
    </xf>
    <xf numFmtId="0" fontId="29" fillId="0" borderId="26" xfId="0" applyFont="1" applyBorder="1" applyAlignment="1">
      <alignment horizontal="center" vertical="center" wrapText="1"/>
    </xf>
    <xf numFmtId="0" fontId="28" fillId="0" borderId="0" xfId="0" applyFont="1" applyAlignment="1">
      <alignment horizontal="left" vertical="center" wrapText="1"/>
    </xf>
    <xf numFmtId="0" fontId="31" fillId="0" borderId="0" xfId="0" applyFont="1" applyAlignment="1">
      <alignment vertical="top"/>
    </xf>
    <xf numFmtId="0" fontId="32" fillId="0" borderId="0" xfId="0" applyFont="1" applyAlignment="1">
      <alignment vertical="top"/>
    </xf>
    <xf numFmtId="0" fontId="31" fillId="0" borderId="0" xfId="0" applyFont="1" applyAlignment="1">
      <alignment horizontal="left" vertical="center" wrapText="1"/>
    </xf>
    <xf numFmtId="0" fontId="31" fillId="0" borderId="0" xfId="0" applyFont="1"/>
    <xf numFmtId="0" fontId="33" fillId="0" borderId="0" xfId="0" applyFont="1" applyBorder="1"/>
    <xf numFmtId="0" fontId="29" fillId="11" borderId="1" xfId="0" applyFont="1" applyFill="1" applyBorder="1" applyAlignment="1">
      <alignment horizontal="center" vertical="center"/>
    </xf>
    <xf numFmtId="0" fontId="33" fillId="0" borderId="0" xfId="0" applyFont="1"/>
    <xf numFmtId="0" fontId="30" fillId="0" borderId="0" xfId="0" applyFont="1" applyBorder="1" applyAlignment="1">
      <alignment vertical="top"/>
    </xf>
    <xf numFmtId="0" fontId="30" fillId="0" borderId="0" xfId="0" applyFont="1" applyBorder="1" applyAlignment="1">
      <alignment horizontal="left" vertical="center" wrapText="1"/>
    </xf>
    <xf numFmtId="0" fontId="30" fillId="0" borderId="0" xfId="0" applyFont="1" applyBorder="1"/>
    <xf numFmtId="0" fontId="30" fillId="0" borderId="24" xfId="0" applyFont="1" applyBorder="1" applyAlignment="1">
      <alignment horizontal="center" vertical="center"/>
    </xf>
    <xf numFmtId="0" fontId="31" fillId="0" borderId="0" xfId="0" applyFont="1" applyFill="1" applyAlignment="1">
      <alignment vertical="center"/>
    </xf>
    <xf numFmtId="0" fontId="11" fillId="2" borderId="1" xfId="0" applyNumberFormat="1" applyFont="1" applyFill="1" applyBorder="1" applyAlignment="1" applyProtection="1">
      <alignment horizontal="center" vertical="center" wrapText="1"/>
    </xf>
    <xf numFmtId="0" fontId="21" fillId="0" borderId="0" xfId="0" applyFont="1"/>
    <xf numFmtId="0" fontId="0" fillId="0" borderId="0" xfId="0" applyAlignment="1">
      <alignment horizontal="center" vertical="center" wrapText="1"/>
    </xf>
    <xf numFmtId="0" fontId="0" fillId="0" borderId="0" xfId="0" applyAlignment="1">
      <alignment horizontal="center" vertical="center"/>
    </xf>
    <xf numFmtId="0" fontId="0" fillId="8" borderId="1" xfId="0" applyFill="1" applyBorder="1" applyAlignment="1">
      <alignment horizontal="center" vertical="center" wrapText="1"/>
    </xf>
    <xf numFmtId="0" fontId="0" fillId="12" borderId="1" xfId="0" applyFill="1" applyBorder="1" applyAlignment="1">
      <alignment horizontal="center" vertical="center" wrapText="1"/>
    </xf>
    <xf numFmtId="0" fontId="0" fillId="3" borderId="1" xfId="0" applyFill="1" applyBorder="1" applyAlignment="1">
      <alignment horizontal="center" vertical="center" wrapText="1"/>
    </xf>
    <xf numFmtId="0" fontId="31" fillId="0" borderId="0" xfId="0" applyFont="1" applyAlignment="1">
      <alignment horizontal="left" vertical="center"/>
    </xf>
    <xf numFmtId="0" fontId="29" fillId="11" borderId="13" xfId="0" applyFont="1" applyFill="1" applyBorder="1" applyAlignment="1">
      <alignment horizontal="center" vertical="center" wrapText="1"/>
    </xf>
    <xf numFmtId="0" fontId="0" fillId="0" borderId="0" xfId="0" applyAlignment="1">
      <alignment horizontal="left" vertical="center" wrapText="1"/>
    </xf>
    <xf numFmtId="0" fontId="25" fillId="0" borderId="0" xfId="0" applyFont="1"/>
    <xf numFmtId="0" fontId="30" fillId="0" borderId="33" xfId="0" applyFont="1" applyBorder="1" applyAlignment="1">
      <alignment horizontal="center" vertical="center" wrapText="1"/>
    </xf>
    <xf numFmtId="0" fontId="30" fillId="0" borderId="36" xfId="0" applyFont="1" applyBorder="1" applyAlignment="1">
      <alignment horizontal="left" vertical="center" wrapText="1"/>
    </xf>
    <xf numFmtId="0" fontId="30" fillId="0" borderId="37" xfId="0" applyFont="1" applyBorder="1" applyAlignment="1">
      <alignment horizontal="left" vertical="center" wrapText="1"/>
    </xf>
    <xf numFmtId="0" fontId="30" fillId="0" borderId="24" xfId="0" applyFont="1" applyBorder="1" applyAlignment="1">
      <alignment horizontal="left" vertical="center" wrapText="1"/>
    </xf>
    <xf numFmtId="0" fontId="30" fillId="0" borderId="33" xfId="0" applyFont="1" applyBorder="1" applyAlignment="1">
      <alignment horizontal="left" vertical="center" wrapText="1"/>
    </xf>
    <xf numFmtId="0" fontId="30" fillId="0" borderId="25" xfId="0" applyFont="1" applyBorder="1" applyAlignment="1">
      <alignment horizontal="left" vertical="center" wrapText="1"/>
    </xf>
    <xf numFmtId="0" fontId="30" fillId="0" borderId="26" xfId="0" applyFont="1" applyBorder="1" applyAlignment="1">
      <alignment horizontal="left" vertical="center" wrapText="1"/>
    </xf>
    <xf numFmtId="0" fontId="30" fillId="0" borderId="38" xfId="0" applyFont="1" applyBorder="1" applyAlignment="1">
      <alignment horizontal="center" vertical="center" wrapText="1"/>
    </xf>
    <xf numFmtId="0" fontId="30" fillId="0" borderId="38" xfId="0" applyFont="1" applyBorder="1" applyAlignment="1">
      <alignment horizontal="left" vertical="center" wrapText="1"/>
    </xf>
    <xf numFmtId="0" fontId="4" fillId="0" borderId="0" xfId="0" applyFont="1" applyAlignment="1">
      <alignment horizontal="center" vertical="top"/>
    </xf>
    <xf numFmtId="0" fontId="30" fillId="0" borderId="23" xfId="0" applyFont="1" applyBorder="1" applyAlignment="1">
      <alignment horizontal="center" vertical="center" wrapText="1"/>
    </xf>
    <xf numFmtId="0" fontId="30" fillId="0" borderId="16" xfId="0" applyFont="1" applyBorder="1" applyAlignment="1">
      <alignment horizontal="left" vertical="center" wrapText="1"/>
    </xf>
    <xf numFmtId="0" fontId="30" fillId="0" borderId="17" xfId="0" applyFont="1" applyBorder="1" applyAlignment="1">
      <alignment horizontal="left" vertical="center" wrapText="1"/>
    </xf>
    <xf numFmtId="0" fontId="30" fillId="0" borderId="23" xfId="0" applyFont="1" applyBorder="1" applyAlignment="1">
      <alignment horizontal="left" vertical="center" wrapText="1"/>
    </xf>
    <xf numFmtId="0" fontId="30" fillId="0" borderId="21" xfId="0" applyFont="1" applyBorder="1" applyAlignment="1">
      <alignment horizontal="center" vertical="top" wrapText="1"/>
    </xf>
    <xf numFmtId="0" fontId="30" fillId="0" borderId="2" xfId="0" applyFont="1" applyBorder="1" applyAlignment="1">
      <alignment horizontal="center" vertical="center" wrapText="1"/>
    </xf>
    <xf numFmtId="0" fontId="30" fillId="0" borderId="21" xfId="0" applyFont="1" applyBorder="1" applyAlignment="1">
      <alignment horizontal="center" vertical="center" wrapText="1"/>
    </xf>
    <xf numFmtId="0" fontId="30" fillId="0" borderId="18" xfId="0" applyFont="1" applyBorder="1" applyAlignment="1">
      <alignment horizontal="left" vertical="center" wrapText="1"/>
    </xf>
    <xf numFmtId="0" fontId="30" fillId="0" borderId="20" xfId="0" applyFont="1" applyBorder="1" applyAlignment="1">
      <alignment horizontal="left" vertical="center" wrapText="1"/>
    </xf>
    <xf numFmtId="0" fontId="0" fillId="0" borderId="0" xfId="0" applyAlignment="1">
      <alignment vertical="center"/>
    </xf>
    <xf numFmtId="0" fontId="0" fillId="16" borderId="1" xfId="0" applyFill="1" applyBorder="1" applyAlignment="1">
      <alignment horizontal="center" vertical="center"/>
    </xf>
    <xf numFmtId="0" fontId="30" fillId="0" borderId="34" xfId="0" applyFont="1" applyBorder="1" applyAlignment="1">
      <alignment horizontal="left" vertical="center" wrapText="1"/>
    </xf>
    <xf numFmtId="0" fontId="30" fillId="0" borderId="35" xfId="0" applyFont="1" applyBorder="1" applyAlignment="1">
      <alignment horizontal="left" vertical="center" wrapText="1"/>
    </xf>
    <xf numFmtId="0" fontId="19" fillId="15" borderId="1" xfId="0" applyFont="1" applyFill="1" applyBorder="1" applyAlignment="1" applyProtection="1">
      <alignment horizontal="left" vertical="center" wrapText="1"/>
      <protection locked="0"/>
    </xf>
    <xf numFmtId="49" fontId="19" fillId="15" borderId="1" xfId="0" quotePrefix="1" applyNumberFormat="1" applyFont="1" applyFill="1" applyBorder="1" applyAlignment="1" applyProtection="1">
      <alignment horizontal="left" vertical="center" wrapText="1"/>
      <protection locked="0"/>
    </xf>
    <xf numFmtId="0" fontId="0" fillId="15" borderId="1" xfId="0" applyFill="1" applyBorder="1" applyAlignment="1" applyProtection="1">
      <alignment horizontal="left" vertical="center" wrapText="1"/>
      <protection locked="0"/>
    </xf>
    <xf numFmtId="166" fontId="16" fillId="15" borderId="1" xfId="2" quotePrefix="1" applyNumberFormat="1" applyFont="1" applyFill="1" applyBorder="1" applyAlignment="1" applyProtection="1">
      <alignment horizontal="center" vertical="center"/>
      <protection locked="0"/>
    </xf>
    <xf numFmtId="0" fontId="12" fillId="15" borderId="1" xfId="0" applyFont="1" applyFill="1" applyBorder="1" applyAlignment="1" applyProtection="1">
      <alignment horizontal="center"/>
      <protection locked="0"/>
    </xf>
    <xf numFmtId="49" fontId="12" fillId="15" borderId="1" xfId="0" applyNumberFormat="1" applyFont="1" applyFill="1" applyBorder="1" applyProtection="1">
      <protection locked="0"/>
    </xf>
    <xf numFmtId="0" fontId="12" fillId="15" borderId="1" xfId="0" applyFont="1" applyFill="1" applyBorder="1" applyProtection="1">
      <protection locked="0"/>
    </xf>
    <xf numFmtId="0" fontId="12" fillId="15" borderId="1" xfId="0" quotePrefix="1" applyFont="1" applyFill="1" applyBorder="1" applyAlignment="1" applyProtection="1">
      <alignment horizontal="left"/>
      <protection locked="0"/>
    </xf>
    <xf numFmtId="166" fontId="16" fillId="15" borderId="1" xfId="2" applyNumberFormat="1" applyFont="1" applyFill="1" applyBorder="1" applyAlignment="1" applyProtection="1">
      <alignment horizontal="center" vertical="center"/>
      <protection locked="0"/>
    </xf>
    <xf numFmtId="0" fontId="12" fillId="15" borderId="1" xfId="0" quotePrefix="1" applyFont="1" applyFill="1" applyBorder="1" applyProtection="1">
      <protection locked="0"/>
    </xf>
    <xf numFmtId="0" fontId="12" fillId="15" borderId="1" xfId="0" applyFont="1" applyFill="1" applyBorder="1" applyAlignment="1" applyProtection="1">
      <alignment horizontal="left"/>
      <protection locked="0"/>
    </xf>
    <xf numFmtId="167" fontId="12" fillId="15" borderId="1" xfId="0" quotePrefix="1" applyNumberFormat="1" applyFont="1" applyFill="1" applyBorder="1" applyProtection="1">
      <protection locked="0"/>
    </xf>
    <xf numFmtId="167" fontId="12" fillId="15" borderId="1" xfId="0" applyNumberFormat="1" applyFont="1" applyFill="1" applyBorder="1" applyProtection="1">
      <protection locked="0"/>
    </xf>
    <xf numFmtId="0" fontId="12" fillId="15" borderId="1" xfId="0" applyNumberFormat="1" applyFont="1" applyFill="1" applyBorder="1" applyProtection="1">
      <protection locked="0"/>
    </xf>
    <xf numFmtId="167" fontId="0" fillId="15" borderId="1" xfId="0" applyNumberFormat="1" applyFill="1" applyBorder="1" applyProtection="1">
      <protection locked="0"/>
    </xf>
    <xf numFmtId="0" fontId="0" fillId="15" borderId="1" xfId="0" applyFill="1" applyBorder="1" applyProtection="1">
      <protection locked="0"/>
    </xf>
    <xf numFmtId="49" fontId="0" fillId="15" borderId="1" xfId="0" applyNumberFormat="1" applyFill="1" applyBorder="1" applyProtection="1">
      <protection locked="0"/>
    </xf>
    <xf numFmtId="0" fontId="0" fillId="15" borderId="1" xfId="0" applyFill="1" applyBorder="1" applyAlignment="1" applyProtection="1">
      <alignment horizontal="center"/>
      <protection locked="0"/>
    </xf>
    <xf numFmtId="0" fontId="0" fillId="15" borderId="1" xfId="0" applyNumberFormat="1" applyFill="1" applyBorder="1" applyProtection="1">
      <protection locked="0"/>
    </xf>
    <xf numFmtId="0" fontId="0" fillId="15" borderId="1" xfId="0" applyFill="1" applyBorder="1" applyAlignment="1" applyProtection="1">
      <alignment horizontal="left"/>
      <protection locked="0"/>
    </xf>
    <xf numFmtId="0" fontId="0" fillId="3" borderId="1" xfId="0" applyFill="1" applyBorder="1" applyAlignment="1">
      <alignment vertical="center"/>
    </xf>
    <xf numFmtId="0" fontId="0" fillId="4" borderId="1" xfId="0" applyFill="1" applyBorder="1" applyAlignment="1">
      <alignment vertical="center"/>
    </xf>
    <xf numFmtId="0" fontId="30" fillId="0" borderId="27" xfId="0" applyFont="1" applyBorder="1" applyAlignment="1">
      <alignment vertical="top"/>
    </xf>
    <xf numFmtId="0" fontId="30" fillId="0" borderId="28" xfId="0" applyFont="1" applyBorder="1"/>
    <xf numFmtId="0" fontId="30" fillId="0" borderId="29" xfId="0" applyFont="1" applyBorder="1" applyAlignment="1">
      <alignment vertical="top"/>
    </xf>
    <xf numFmtId="0" fontId="30" fillId="0" borderId="30" xfId="0" applyFont="1" applyBorder="1"/>
    <xf numFmtId="0" fontId="30" fillId="0" borderId="31" xfId="0" applyFont="1" applyBorder="1" applyAlignment="1">
      <alignment vertical="top"/>
    </xf>
    <xf numFmtId="0" fontId="30" fillId="0" borderId="41" xfId="0" applyFont="1" applyBorder="1" applyAlignment="1">
      <alignment horizontal="left" vertical="center" wrapText="1"/>
    </xf>
    <xf numFmtId="0" fontId="30" fillId="0" borderId="32" xfId="0" applyFont="1" applyBorder="1"/>
    <xf numFmtId="0" fontId="26" fillId="2" borderId="23" xfId="0" applyFont="1" applyFill="1" applyBorder="1" applyAlignment="1">
      <alignment horizontal="center" vertical="center"/>
    </xf>
    <xf numFmtId="0" fontId="26" fillId="2" borderId="2" xfId="0" applyFont="1" applyFill="1" applyBorder="1"/>
    <xf numFmtId="0" fontId="26" fillId="2" borderId="21" xfId="0" applyFont="1" applyFill="1" applyBorder="1"/>
    <xf numFmtId="0" fontId="30" fillId="0" borderId="26" xfId="0" applyFont="1" applyBorder="1" applyAlignment="1">
      <alignment horizontal="left" vertical="center" wrapText="1"/>
    </xf>
    <xf numFmtId="0" fontId="0" fillId="0" borderId="0" xfId="0" applyBorder="1" applyProtection="1"/>
    <xf numFmtId="0" fontId="0" fillId="0" borderId="0" xfId="0" applyFill="1" applyBorder="1" applyProtection="1"/>
    <xf numFmtId="0" fontId="0" fillId="0" borderId="0" xfId="0" applyFont="1" applyBorder="1" applyAlignment="1" applyProtection="1">
      <alignment horizontal="center" vertical="center"/>
    </xf>
    <xf numFmtId="0" fontId="23" fillId="0" borderId="0" xfId="0" applyFont="1" applyFill="1" applyBorder="1" applyProtection="1"/>
    <xf numFmtId="0" fontId="22" fillId="0" borderId="0" xfId="0" applyFont="1" applyFill="1" applyBorder="1" applyAlignment="1" applyProtection="1">
      <alignment horizontal="left" vertical="top"/>
    </xf>
    <xf numFmtId="0" fontId="21" fillId="0" borderId="0" xfId="0" applyFont="1" applyFill="1" applyBorder="1" applyProtection="1"/>
    <xf numFmtId="0" fontId="0" fillId="6" borderId="13" xfId="0" applyFill="1" applyBorder="1" applyProtection="1"/>
    <xf numFmtId="0" fontId="0" fillId="6" borderId="14" xfId="0" applyFont="1" applyFill="1" applyBorder="1" applyAlignment="1" applyProtection="1">
      <alignment horizontal="center" vertical="center"/>
    </xf>
    <xf numFmtId="0" fontId="0" fillId="6" borderId="14" xfId="0" applyFill="1" applyBorder="1" applyProtection="1"/>
    <xf numFmtId="0" fontId="0" fillId="6" borderId="15" xfId="0" applyFill="1" applyBorder="1" applyProtection="1"/>
    <xf numFmtId="0" fontId="0" fillId="6" borderId="16" xfId="0" applyFill="1" applyBorder="1" applyProtection="1"/>
    <xf numFmtId="0" fontId="0" fillId="8" borderId="1" xfId="0" applyFont="1" applyFill="1" applyBorder="1" applyAlignment="1" applyProtection="1">
      <alignment horizontal="center" vertical="center"/>
    </xf>
    <xf numFmtId="0" fontId="0" fillId="6" borderId="0" xfId="0" applyFill="1" applyBorder="1" applyProtection="1"/>
    <xf numFmtId="0" fontId="0" fillId="6" borderId="17" xfId="0" applyFill="1" applyBorder="1" applyProtection="1"/>
    <xf numFmtId="0" fontId="0" fillId="6" borderId="0" xfId="0" applyFont="1" applyFill="1" applyBorder="1" applyAlignment="1" applyProtection="1">
      <alignment horizontal="center" vertical="center"/>
    </xf>
    <xf numFmtId="0" fontId="0" fillId="0" borderId="1" xfId="0" applyFont="1" applyBorder="1" applyAlignment="1" applyProtection="1">
      <alignment horizontal="center" vertical="center"/>
    </xf>
    <xf numFmtId="0" fontId="0" fillId="6" borderId="18" xfId="0" applyFill="1" applyBorder="1" applyProtection="1"/>
    <xf numFmtId="0" fontId="0" fillId="6" borderId="19" xfId="0" applyFont="1" applyFill="1" applyBorder="1" applyAlignment="1" applyProtection="1">
      <alignment horizontal="center" vertical="center"/>
    </xf>
    <xf numFmtId="0" fontId="0" fillId="6" borderId="19" xfId="0" applyFill="1" applyBorder="1" applyProtection="1"/>
    <xf numFmtId="0" fontId="0" fillId="6" borderId="20" xfId="0" applyFill="1" applyBorder="1" applyProtection="1"/>
    <xf numFmtId="0" fontId="0" fillId="0" borderId="14" xfId="0" applyBorder="1" applyProtection="1"/>
    <xf numFmtId="0" fontId="0" fillId="0" borderId="14" xfId="0" applyFont="1" applyBorder="1" applyAlignment="1" applyProtection="1">
      <alignment horizontal="center" vertical="center"/>
    </xf>
    <xf numFmtId="0" fontId="0" fillId="8" borderId="1" xfId="0" applyFill="1" applyBorder="1" applyAlignment="1" applyProtection="1">
      <alignment horizontal="center" vertical="center"/>
    </xf>
    <xf numFmtId="0" fontId="0" fillId="0" borderId="0" xfId="0" quotePrefix="1" applyBorder="1" applyAlignment="1" applyProtection="1">
      <alignment horizontal="left" vertical="center"/>
    </xf>
    <xf numFmtId="0" fontId="0" fillId="0" borderId="0" xfId="0" applyFill="1" applyProtection="1"/>
    <xf numFmtId="0" fontId="0" fillId="0" borderId="0" xfId="0" applyProtection="1"/>
    <xf numFmtId="0" fontId="0" fillId="0" borderId="0" xfId="0" applyFont="1" applyAlignment="1" applyProtection="1">
      <alignment horizontal="center" vertical="center"/>
    </xf>
    <xf numFmtId="0" fontId="0" fillId="9" borderId="1" xfId="0" applyFill="1" applyBorder="1" applyAlignment="1" applyProtection="1">
      <alignment horizontal="center" vertical="center"/>
    </xf>
    <xf numFmtId="0" fontId="0" fillId="0" borderId="0" xfId="0" quotePrefix="1" applyBorder="1" applyProtection="1"/>
    <xf numFmtId="0" fontId="0" fillId="0" borderId="0" xfId="0" applyBorder="1" applyProtection="1">
      <protection locked="0"/>
    </xf>
    <xf numFmtId="0" fontId="0" fillId="5" borderId="0" xfId="0" applyFill="1" applyAlignment="1" applyProtection="1">
      <alignment vertical="center"/>
    </xf>
    <xf numFmtId="0" fontId="0" fillId="3" borderId="1" xfId="0" applyFill="1" applyBorder="1" applyAlignment="1" applyProtection="1">
      <alignment horizontal="left" vertical="center" wrapText="1"/>
    </xf>
    <xf numFmtId="0" fontId="26" fillId="5" borderId="0" xfId="0" applyFont="1" applyFill="1" applyAlignment="1" applyProtection="1">
      <alignment horizontal="left" vertical="center" wrapText="1"/>
    </xf>
    <xf numFmtId="0" fontId="0" fillId="5" borderId="0" xfId="0" applyFill="1" applyAlignment="1" applyProtection="1">
      <alignment horizontal="left" vertical="center" wrapText="1"/>
    </xf>
    <xf numFmtId="0" fontId="0" fillId="3" borderId="4" xfId="0" applyFill="1" applyBorder="1" applyAlignment="1" applyProtection="1">
      <alignment horizontal="left" vertical="center" wrapText="1"/>
    </xf>
    <xf numFmtId="0" fontId="0" fillId="5" borderId="0" xfId="0" applyFill="1" applyAlignment="1" applyProtection="1">
      <alignment horizontal="center" vertical="center"/>
    </xf>
    <xf numFmtId="0" fontId="0" fillId="5" borderId="0" xfId="0" applyFill="1" applyProtection="1"/>
    <xf numFmtId="0" fontId="0" fillId="5" borderId="0" xfId="0" applyFill="1" applyAlignment="1" applyProtection="1">
      <alignment horizontal="left"/>
    </xf>
    <xf numFmtId="0" fontId="0" fillId="5" borderId="0" xfId="0" applyFill="1" applyProtection="1">
      <protection locked="0"/>
    </xf>
    <xf numFmtId="0" fontId="14" fillId="0" borderId="0" xfId="0" applyFont="1" applyFill="1" applyBorder="1" applyProtection="1"/>
    <xf numFmtId="0" fontId="13" fillId="0" borderId="0" xfId="0" applyFont="1" applyFill="1" applyBorder="1" applyProtection="1"/>
    <xf numFmtId="166" fontId="16" fillId="0" borderId="0" xfId="2" applyNumberFormat="1" applyFont="1" applyFill="1" applyBorder="1" applyAlignment="1" applyProtection="1">
      <alignment horizontal="center" vertical="center"/>
    </xf>
    <xf numFmtId="0" fontId="12" fillId="0" borderId="0" xfId="0" applyFont="1" applyFill="1" applyBorder="1" applyAlignment="1" applyProtection="1">
      <alignment horizontal="center"/>
    </xf>
    <xf numFmtId="0" fontId="12" fillId="0" borderId="0" xfId="0" applyFont="1" applyFill="1" applyBorder="1" applyProtection="1"/>
    <xf numFmtId="167" fontId="0" fillId="0" borderId="0" xfId="0" applyNumberFormat="1" applyFill="1" applyBorder="1" applyProtection="1"/>
    <xf numFmtId="49" fontId="0" fillId="0" borderId="0" xfId="0" applyNumberFormat="1" applyFill="1" applyBorder="1" applyProtection="1"/>
    <xf numFmtId="0" fontId="0" fillId="0" borderId="0" xfId="0" applyFill="1" applyBorder="1" applyAlignment="1" applyProtection="1">
      <alignment horizontal="center"/>
    </xf>
    <xf numFmtId="0" fontId="0" fillId="0" borderId="0" xfId="0" applyNumberFormat="1" applyFill="1" applyBorder="1" applyProtection="1"/>
    <xf numFmtId="0" fontId="0" fillId="0" borderId="0" xfId="0" applyFill="1" applyBorder="1" applyAlignment="1" applyProtection="1">
      <alignment horizontal="left"/>
    </xf>
    <xf numFmtId="0" fontId="36" fillId="0" borderId="0" xfId="0" applyFont="1" applyFill="1" applyBorder="1" applyProtection="1"/>
    <xf numFmtId="0" fontId="37" fillId="0" borderId="0" xfId="0" applyFont="1" applyFill="1" applyBorder="1" applyProtection="1"/>
    <xf numFmtId="166" fontId="38" fillId="0" borderId="0" xfId="2" applyNumberFormat="1" applyFont="1" applyFill="1" applyBorder="1" applyAlignment="1" applyProtection="1">
      <alignment horizontal="center" vertical="center"/>
    </xf>
    <xf numFmtId="0" fontId="36" fillId="0" borderId="0" xfId="0" applyFont="1" applyFill="1" applyBorder="1" applyAlignment="1" applyProtection="1">
      <alignment horizontal="center"/>
    </xf>
    <xf numFmtId="167" fontId="35" fillId="0" borderId="0" xfId="0" applyNumberFormat="1" applyFont="1" applyFill="1" applyBorder="1" applyProtection="1"/>
    <xf numFmtId="0" fontId="35" fillId="0" borderId="0" xfId="0" applyFont="1" applyFill="1" applyBorder="1" applyProtection="1"/>
    <xf numFmtId="49" fontId="35" fillId="0" borderId="0" xfId="0" applyNumberFormat="1" applyFont="1" applyFill="1" applyBorder="1" applyProtection="1"/>
    <xf numFmtId="0" fontId="35" fillId="0" borderId="0" xfId="0" applyFont="1" applyFill="1" applyBorder="1" applyAlignment="1" applyProtection="1">
      <alignment horizontal="center"/>
    </xf>
    <xf numFmtId="0" fontId="35" fillId="0" borderId="0" xfId="0" applyNumberFormat="1" applyFont="1" applyFill="1" applyBorder="1" applyProtection="1"/>
    <xf numFmtId="0" fontId="35" fillId="0" borderId="0" xfId="0" applyFont="1" applyFill="1" applyBorder="1" applyAlignment="1" applyProtection="1">
      <alignment horizontal="left"/>
    </xf>
    <xf numFmtId="0" fontId="35" fillId="0" borderId="0" xfId="0" applyFont="1" applyFill="1" applyProtection="1"/>
    <xf numFmtId="0" fontId="24" fillId="0" borderId="0" xfId="0" applyFont="1" applyFill="1" applyBorder="1" applyProtection="1"/>
    <xf numFmtId="0" fontId="39" fillId="0" borderId="0" xfId="0" applyFont="1" applyFill="1" applyBorder="1" applyProtection="1"/>
    <xf numFmtId="49" fontId="39" fillId="0" borderId="0" xfId="0" applyNumberFormat="1" applyFont="1" applyFill="1" applyBorder="1" applyProtection="1"/>
    <xf numFmtId="0" fontId="26" fillId="0" borderId="0" xfId="0" applyFont="1" applyFill="1" applyProtection="1"/>
    <xf numFmtId="0" fontId="26" fillId="0" borderId="0" xfId="0" applyFont="1" applyProtection="1"/>
    <xf numFmtId="0" fontId="24" fillId="0" borderId="0" xfId="0" applyFont="1" applyFill="1" applyProtection="1"/>
    <xf numFmtId="0" fontId="25" fillId="0" borderId="0" xfId="0" applyFont="1" applyFill="1" applyProtection="1"/>
    <xf numFmtId="49" fontId="25" fillId="0" borderId="0" xfId="0" applyNumberFormat="1" applyFont="1" applyFill="1" applyProtection="1"/>
    <xf numFmtId="0" fontId="25" fillId="0" borderId="0" xfId="0" applyFont="1" applyFill="1" applyAlignment="1" applyProtection="1">
      <alignment horizontal="center"/>
    </xf>
    <xf numFmtId="49" fontId="26" fillId="0" borderId="0" xfId="0" applyNumberFormat="1" applyFont="1" applyProtection="1"/>
    <xf numFmtId="0" fontId="26" fillId="0" borderId="0" xfId="0" applyNumberFormat="1" applyFont="1" applyProtection="1"/>
    <xf numFmtId="0" fontId="25" fillId="0" borderId="0" xfId="0" applyFont="1" applyFill="1" applyBorder="1" applyAlignment="1" applyProtection="1">
      <alignment horizontal="center" vertical="center"/>
    </xf>
    <xf numFmtId="49" fontId="0" fillId="0" borderId="0" xfId="0" applyNumberFormat="1" applyProtection="1"/>
    <xf numFmtId="0" fontId="0" fillId="0" borderId="0" xfId="0" applyNumberFormat="1" applyProtection="1"/>
    <xf numFmtId="0" fontId="26" fillId="2" borderId="1" xfId="0" applyFont="1" applyFill="1" applyBorder="1" applyAlignment="1" applyProtection="1">
      <alignment horizontal="center" vertical="center"/>
    </xf>
    <xf numFmtId="0" fontId="0" fillId="3" borderId="2" xfId="0" applyFill="1" applyBorder="1" applyProtection="1"/>
    <xf numFmtId="0" fontId="26" fillId="3" borderId="2" xfId="0" applyFont="1" applyFill="1" applyBorder="1" applyAlignment="1" applyProtection="1">
      <alignment horizontal="center" vertical="center"/>
    </xf>
    <xf numFmtId="0" fontId="0" fillId="6" borderId="23" xfId="0" applyFill="1" applyBorder="1" applyProtection="1"/>
    <xf numFmtId="0" fontId="0" fillId="15" borderId="33" xfId="0" applyFill="1" applyBorder="1" applyProtection="1"/>
    <xf numFmtId="0" fontId="0" fillId="15" borderId="25" xfId="0" applyFill="1" applyBorder="1" applyProtection="1"/>
    <xf numFmtId="0" fontId="0" fillId="6" borderId="21" xfId="0" applyFill="1" applyBorder="1" applyProtection="1"/>
    <xf numFmtId="0" fontId="0" fillId="15" borderId="26" xfId="0" applyFill="1" applyBorder="1" applyProtection="1"/>
    <xf numFmtId="0" fontId="0" fillId="10" borderId="23" xfId="0" applyFill="1" applyBorder="1" applyProtection="1"/>
    <xf numFmtId="0" fontId="0" fillId="10" borderId="2" xfId="0" applyFill="1" applyBorder="1" applyProtection="1"/>
    <xf numFmtId="0" fontId="0" fillId="15" borderId="24" xfId="0" applyFill="1" applyBorder="1" applyProtection="1"/>
    <xf numFmtId="0" fontId="0" fillId="3" borderId="13" xfId="0" applyFill="1" applyBorder="1" applyProtection="1"/>
    <xf numFmtId="0" fontId="0" fillId="3" borderId="15" xfId="0" applyFill="1" applyBorder="1" applyProtection="1"/>
    <xf numFmtId="0" fontId="0" fillId="15" borderId="21" xfId="0" applyFill="1" applyBorder="1" applyProtection="1"/>
    <xf numFmtId="0" fontId="26" fillId="2" borderId="2" xfId="0" applyFont="1" applyFill="1" applyBorder="1" applyAlignment="1" applyProtection="1">
      <alignment horizontal="center" vertical="center"/>
    </xf>
    <xf numFmtId="0" fontId="0" fillId="0" borderId="0" xfId="0" applyAlignment="1" applyProtection="1">
      <alignment horizontal="center" vertical="center"/>
    </xf>
    <xf numFmtId="0" fontId="0" fillId="3" borderId="2" xfId="0" applyFill="1" applyBorder="1" applyAlignment="1" applyProtection="1">
      <alignment horizontal="left" vertical="center"/>
    </xf>
    <xf numFmtId="0" fontId="0" fillId="15" borderId="3" xfId="0" applyFill="1" applyBorder="1" applyAlignment="1" applyProtection="1">
      <alignment vertical="center"/>
    </xf>
    <xf numFmtId="0" fontId="0" fillId="15" borderId="33" xfId="0" applyFill="1" applyBorder="1" applyProtection="1">
      <protection locked="0"/>
    </xf>
    <xf numFmtId="0" fontId="0" fillId="15" borderId="25" xfId="0" applyFill="1" applyBorder="1" applyProtection="1">
      <protection locked="0"/>
    </xf>
    <xf numFmtId="0" fontId="0" fillId="15" borderId="26" xfId="0" applyFill="1" applyBorder="1" applyProtection="1">
      <protection locked="0"/>
    </xf>
    <xf numFmtId="0" fontId="0" fillId="15" borderId="24" xfId="0" applyFill="1" applyBorder="1" applyProtection="1">
      <protection locked="0"/>
    </xf>
    <xf numFmtId="0" fontId="0" fillId="15" borderId="21" xfId="0" applyFill="1" applyBorder="1" applyProtection="1">
      <protection locked="0"/>
    </xf>
    <xf numFmtId="0" fontId="0" fillId="15" borderId="1" xfId="0" applyFill="1" applyBorder="1" applyAlignment="1" applyProtection="1">
      <alignment horizontal="left" vertical="center"/>
      <protection locked="0"/>
    </xf>
    <xf numFmtId="0" fontId="0" fillId="2" borderId="2" xfId="0" applyFill="1" applyBorder="1" applyProtection="1"/>
    <xf numFmtId="0" fontId="26" fillId="2" borderId="23" xfId="0" applyFont="1" applyFill="1" applyBorder="1" applyAlignment="1" applyProtection="1">
      <alignment horizontal="center" vertical="center"/>
    </xf>
    <xf numFmtId="0" fontId="0" fillId="2" borderId="21" xfId="0" applyFill="1" applyBorder="1" applyProtection="1"/>
    <xf numFmtId="0" fontId="0" fillId="12" borderId="1" xfId="0" applyFill="1" applyBorder="1" applyAlignment="1" applyProtection="1">
      <alignment horizontal="center" vertical="center" wrapText="1"/>
    </xf>
    <xf numFmtId="0" fontId="0" fillId="3" borderId="1" xfId="0" applyFill="1" applyBorder="1" applyAlignment="1" applyProtection="1">
      <alignment horizontal="center" vertical="center" wrapText="1"/>
    </xf>
    <xf numFmtId="0" fontId="0" fillId="8" borderId="1" xfId="0" applyFill="1" applyBorder="1" applyAlignment="1" applyProtection="1">
      <alignment horizontal="center" vertical="center" wrapText="1"/>
    </xf>
    <xf numFmtId="0" fontId="0" fillId="12" borderId="21" xfId="0" applyFill="1" applyBorder="1" applyAlignment="1" applyProtection="1">
      <alignment horizontal="center" vertical="center" wrapText="1"/>
    </xf>
    <xf numFmtId="0" fontId="0" fillId="3" borderId="21" xfId="0" applyFill="1" applyBorder="1" applyAlignment="1" applyProtection="1">
      <alignment horizontal="center" vertical="center" wrapText="1"/>
    </xf>
    <xf numFmtId="0" fontId="0" fillId="8" borderId="21" xfId="0" applyFill="1" applyBorder="1" applyAlignment="1" applyProtection="1">
      <alignment horizontal="center" vertical="center" wrapText="1"/>
    </xf>
    <xf numFmtId="0" fontId="0" fillId="3" borderId="1" xfId="0" applyFill="1" applyBorder="1" applyProtection="1"/>
    <xf numFmtId="0" fontId="0" fillId="6" borderId="1" xfId="0" applyFill="1" applyBorder="1" applyProtection="1"/>
    <xf numFmtId="0" fontId="0" fillId="4" borderId="1" xfId="0" applyFill="1" applyBorder="1" applyProtection="1"/>
    <xf numFmtId="0" fontId="0" fillId="0" borderId="0" xfId="0" applyAlignment="1" applyProtection="1">
      <alignment horizontal="center" vertical="center" wrapText="1"/>
    </xf>
    <xf numFmtId="2" fontId="0" fillId="15" borderId="1" xfId="0" applyNumberFormat="1" applyFill="1" applyBorder="1" applyAlignment="1" applyProtection="1">
      <alignment horizontal="center" vertical="center" wrapText="1"/>
      <protection locked="0"/>
    </xf>
    <xf numFmtId="0" fontId="0" fillId="15" borderId="1" xfId="0" applyFill="1" applyBorder="1" applyAlignment="1" applyProtection="1">
      <alignment horizontal="center" vertical="center" wrapText="1"/>
      <protection locked="0"/>
    </xf>
    <xf numFmtId="0" fontId="0" fillId="15" borderId="1" xfId="0" applyFill="1" applyBorder="1" applyAlignment="1" applyProtection="1">
      <alignment horizontal="center" vertical="center"/>
      <protection locked="0"/>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0" fontId="0" fillId="15" borderId="1" xfId="0" quotePrefix="1" applyFill="1" applyBorder="1" applyProtection="1">
      <protection locked="0"/>
    </xf>
    <xf numFmtId="0" fontId="26" fillId="0" borderId="0" xfId="0" applyFont="1" applyAlignment="1">
      <alignment vertical="top"/>
    </xf>
    <xf numFmtId="0" fontId="0" fillId="0" borderId="0" xfId="0" applyAlignment="1" applyProtection="1">
      <alignment horizontal="left" vertical="center"/>
    </xf>
    <xf numFmtId="0" fontId="46" fillId="0" borderId="0" xfId="0" applyFont="1" applyProtection="1"/>
    <xf numFmtId="0" fontId="46" fillId="0" borderId="0" xfId="0" applyFont="1" applyAlignment="1" applyProtection="1">
      <alignment horizontal="left" vertical="center"/>
    </xf>
    <xf numFmtId="0" fontId="46" fillId="0" borderId="0" xfId="0" applyFont="1" applyAlignment="1" applyProtection="1">
      <alignment horizontal="center" vertical="center"/>
    </xf>
    <xf numFmtId="0" fontId="46" fillId="0" borderId="0" xfId="0" applyFont="1" applyAlignment="1" applyProtection="1">
      <alignment horizontal="center" vertical="center" wrapText="1"/>
    </xf>
    <xf numFmtId="0" fontId="0" fillId="0" borderId="0" xfId="0" applyFont="1" applyFill="1" applyProtection="1"/>
    <xf numFmtId="0" fontId="40" fillId="0" borderId="0" xfId="0" applyFont="1" applyFill="1" applyProtection="1"/>
    <xf numFmtId="0" fontId="40" fillId="0" borderId="0" xfId="0" applyFont="1" applyFill="1" applyAlignment="1" applyProtection="1">
      <alignment horizontal="center" vertical="center" wrapText="1"/>
    </xf>
    <xf numFmtId="0" fontId="40" fillId="0" borderId="0" xfId="0" applyFont="1" applyFill="1" applyAlignment="1" applyProtection="1">
      <alignment horizontal="center" vertical="center"/>
    </xf>
    <xf numFmtId="0" fontId="0" fillId="0" borderId="1" xfId="0" applyFont="1" applyFill="1" applyBorder="1" applyProtection="1"/>
    <xf numFmtId="2" fontId="0" fillId="0" borderId="1" xfId="0" applyNumberFormat="1" applyFont="1" applyFill="1" applyBorder="1" applyAlignment="1" applyProtection="1">
      <alignment horizontal="center" vertical="center" wrapText="1"/>
      <protection locked="0"/>
    </xf>
    <xf numFmtId="0" fontId="0" fillId="0" borderId="0" xfId="0" applyFill="1" applyAlignment="1" applyProtection="1">
      <alignment horizontal="center" vertical="center" wrapText="1"/>
    </xf>
    <xf numFmtId="0" fontId="0" fillId="0" borderId="0" xfId="0" applyFill="1" applyAlignment="1" applyProtection="1">
      <alignment horizontal="center" vertical="center"/>
    </xf>
    <xf numFmtId="0" fontId="0" fillId="3" borderId="1" xfId="0" applyFill="1" applyBorder="1" applyAlignment="1" applyProtection="1">
      <alignment horizontal="center" vertical="center"/>
    </xf>
    <xf numFmtId="0" fontId="0" fillId="17" borderId="1" xfId="0" applyFill="1" applyBorder="1" applyAlignment="1" applyProtection="1">
      <alignment horizontal="center" vertical="center"/>
    </xf>
    <xf numFmtId="0" fontId="26" fillId="0" borderId="0" xfId="0" quotePrefix="1" applyFont="1" applyProtection="1"/>
    <xf numFmtId="0" fontId="26" fillId="0" borderId="0" xfId="0" applyFont="1" applyAlignment="1" applyProtection="1">
      <alignment horizontal="center" vertical="center"/>
    </xf>
    <xf numFmtId="0" fontId="51" fillId="0" borderId="0" xfId="0" applyFont="1" applyProtection="1"/>
    <xf numFmtId="0" fontId="0" fillId="0" borderId="0" xfId="0" applyAlignment="1" applyProtection="1">
      <alignment horizontal="left"/>
    </xf>
    <xf numFmtId="0" fontId="0" fillId="0" borderId="0" xfId="0" applyFont="1" applyFill="1" applyAlignment="1" applyProtection="1">
      <alignment horizontal="left"/>
    </xf>
    <xf numFmtId="0" fontId="46" fillId="11" borderId="2" xfId="0" applyFont="1" applyFill="1" applyBorder="1" applyProtection="1"/>
    <xf numFmtId="0" fontId="46" fillId="0" borderId="0" xfId="0" applyFont="1" applyFill="1" applyProtection="1"/>
    <xf numFmtId="0" fontId="46" fillId="11" borderId="23" xfId="0" applyFont="1" applyFill="1" applyBorder="1" applyAlignment="1" applyProtection="1">
      <alignment horizontal="center" vertical="center"/>
    </xf>
    <xf numFmtId="0" fontId="46" fillId="11" borderId="21" xfId="0" applyFont="1" applyFill="1" applyBorder="1" applyProtection="1"/>
    <xf numFmtId="0" fontId="46" fillId="11" borderId="1" xfId="0" applyFont="1" applyFill="1" applyBorder="1" applyAlignment="1" applyProtection="1">
      <alignment horizontal="center" vertical="center" wrapText="1"/>
    </xf>
    <xf numFmtId="0" fontId="46" fillId="11" borderId="21" xfId="0" applyFont="1" applyFill="1" applyBorder="1" applyAlignment="1" applyProtection="1">
      <alignment horizontal="center" vertical="center" wrapText="1"/>
    </xf>
    <xf numFmtId="2" fontId="0" fillId="0" borderId="1" xfId="0" applyNumberFormat="1" applyFont="1" applyFill="1" applyBorder="1" applyAlignment="1" applyProtection="1">
      <alignment horizontal="center" vertical="center" wrapText="1"/>
      <protection hidden="1"/>
    </xf>
    <xf numFmtId="49" fontId="4" fillId="0" borderId="0" xfId="0" applyNumberFormat="1" applyFont="1"/>
    <xf numFmtId="0" fontId="54" fillId="0" borderId="0" xfId="1" quotePrefix="1" applyFont="1" applyAlignment="1" applyProtection="1"/>
    <xf numFmtId="0" fontId="4" fillId="0" borderId="0" xfId="0" quotePrefix="1" applyFont="1" applyAlignment="1">
      <alignment horizontal="left"/>
    </xf>
    <xf numFmtId="0" fontId="30" fillId="0" borderId="23" xfId="0" applyFont="1" applyBorder="1" applyAlignment="1">
      <alignment horizontal="center" vertical="top" wrapText="1"/>
    </xf>
    <xf numFmtId="0" fontId="30" fillId="0" borderId="23" xfId="0" applyFont="1" applyBorder="1" applyAlignment="1">
      <alignment horizontal="left" vertical="top" wrapText="1"/>
    </xf>
    <xf numFmtId="0" fontId="29" fillId="11" borderId="1" xfId="0" applyFont="1" applyFill="1" applyBorder="1" applyAlignment="1">
      <alignment horizontal="center" vertical="center" wrapText="1"/>
    </xf>
    <xf numFmtId="0" fontId="56" fillId="0" borderId="0" xfId="0" applyFont="1" applyFill="1" applyProtection="1"/>
    <xf numFmtId="0" fontId="0" fillId="21" borderId="3" xfId="0" applyFill="1" applyBorder="1" applyAlignment="1" applyProtection="1">
      <alignment vertical="center"/>
    </xf>
    <xf numFmtId="0" fontId="0" fillId="21" borderId="1" xfId="0" applyFill="1" applyBorder="1" applyAlignment="1" applyProtection="1">
      <alignment horizontal="left" vertical="center"/>
      <protection locked="0"/>
    </xf>
    <xf numFmtId="0" fontId="30" fillId="0" borderId="26" xfId="0" applyFont="1" applyBorder="1" applyAlignment="1">
      <alignment horizontal="center" vertical="center"/>
    </xf>
    <xf numFmtId="0" fontId="0" fillId="18" borderId="1" xfId="0" applyFont="1" applyFill="1" applyBorder="1" applyAlignment="1">
      <alignment horizontal="center" vertical="center"/>
    </xf>
    <xf numFmtId="2" fontId="29" fillId="0" borderId="33" xfId="0" applyNumberFormat="1" applyFont="1" applyBorder="1" applyAlignment="1">
      <alignment horizontal="center" vertical="center" wrapText="1"/>
    </xf>
    <xf numFmtId="0" fontId="29" fillId="0" borderId="33" xfId="0" applyFont="1" applyBorder="1" applyAlignment="1">
      <alignment horizontal="center" vertical="center" wrapText="1"/>
    </xf>
    <xf numFmtId="2" fontId="29" fillId="0" borderId="2" xfId="0" applyNumberFormat="1" applyFont="1" applyBorder="1" applyAlignment="1">
      <alignment horizontal="center" vertical="center" wrapText="1"/>
    </xf>
    <xf numFmtId="0" fontId="29" fillId="0" borderId="2" xfId="0" applyFont="1" applyBorder="1" applyAlignment="1">
      <alignment horizontal="center" vertical="center" wrapText="1"/>
    </xf>
    <xf numFmtId="2" fontId="29" fillId="0" borderId="38" xfId="0" applyNumberFormat="1" applyFont="1" applyBorder="1" applyAlignment="1">
      <alignment horizontal="center" vertical="center" wrapText="1"/>
    </xf>
    <xf numFmtId="0" fontId="29" fillId="0" borderId="38" xfId="0" applyFont="1" applyBorder="1" applyAlignment="1">
      <alignment horizontal="center" vertical="center" wrapText="1"/>
    </xf>
    <xf numFmtId="2" fontId="29" fillId="0" borderId="21" xfId="0" applyNumberFormat="1" applyFont="1" applyBorder="1" applyAlignment="1">
      <alignment horizontal="center" vertical="center" wrapText="1"/>
    </xf>
    <xf numFmtId="0" fontId="29" fillId="0" borderId="21" xfId="0" applyFont="1" applyBorder="1" applyAlignment="1">
      <alignment horizontal="center" vertical="center" wrapText="1"/>
    </xf>
    <xf numFmtId="2" fontId="29" fillId="0" borderId="23" xfId="0" applyNumberFormat="1" applyFont="1" applyBorder="1" applyAlignment="1">
      <alignment horizontal="center" vertical="center" wrapText="1"/>
    </xf>
    <xf numFmtId="0" fontId="29" fillId="0" borderId="23" xfId="0" applyFont="1" applyBorder="1" applyAlignment="1">
      <alignment horizontal="center" vertical="center" wrapText="1"/>
    </xf>
    <xf numFmtId="0" fontId="30" fillId="0" borderId="23" xfId="0" applyFont="1" applyBorder="1" applyAlignment="1">
      <alignment vertical="top" wrapText="1"/>
    </xf>
    <xf numFmtId="0" fontId="29" fillId="22" borderId="1" xfId="0" applyFont="1" applyFill="1" applyBorder="1" applyAlignment="1">
      <alignment horizontal="center" vertical="center" wrapText="1"/>
    </xf>
    <xf numFmtId="0" fontId="0" fillId="15" borderId="20" xfId="0" applyFill="1" applyBorder="1" applyProtection="1">
      <protection locked="0"/>
    </xf>
    <xf numFmtId="0" fontId="58" fillId="0" borderId="0" xfId="0" applyFont="1" applyAlignment="1">
      <alignment horizontal="right" vertical="center"/>
    </xf>
    <xf numFmtId="0" fontId="12" fillId="3" borderId="1" xfId="0" applyFont="1" applyFill="1" applyBorder="1" applyProtection="1"/>
    <xf numFmtId="0" fontId="14" fillId="3" borderId="1" xfId="0" applyFont="1" applyFill="1" applyBorder="1" applyProtection="1"/>
    <xf numFmtId="0" fontId="30" fillId="0" borderId="23" xfId="0" applyFont="1" applyBorder="1" applyAlignment="1">
      <alignment horizontal="left" vertical="top" wrapText="1"/>
    </xf>
    <xf numFmtId="0" fontId="0" fillId="15" borderId="23" xfId="0" applyFill="1" applyBorder="1" applyProtection="1"/>
    <xf numFmtId="0" fontId="51" fillId="0" borderId="0" xfId="0" applyFont="1"/>
    <xf numFmtId="0" fontId="59" fillId="0" borderId="0" xfId="0" applyFont="1" applyAlignment="1"/>
    <xf numFmtId="0" fontId="30" fillId="0" borderId="39" xfId="0" applyFont="1" applyBorder="1" applyAlignment="1">
      <alignment horizontal="left" vertical="center" wrapText="1"/>
    </xf>
    <xf numFmtId="0" fontId="30" fillId="0" borderId="40" xfId="0" applyFont="1" applyBorder="1" applyAlignment="1">
      <alignment horizontal="left" vertical="center" wrapText="1"/>
    </xf>
    <xf numFmtId="0" fontId="30" fillId="0" borderId="16" xfId="0" applyFont="1" applyBorder="1" applyAlignment="1">
      <alignment horizontal="left" vertical="center" wrapText="1"/>
    </xf>
    <xf numFmtId="0" fontId="30" fillId="0" borderId="17" xfId="0" applyFont="1" applyBorder="1" applyAlignment="1">
      <alignment horizontal="left" vertical="center" wrapText="1"/>
    </xf>
    <xf numFmtId="0" fontId="46" fillId="11" borderId="1" xfId="0" applyFont="1" applyFill="1" applyBorder="1" applyAlignment="1" applyProtection="1">
      <alignment horizontal="center" vertical="center" wrapText="1"/>
    </xf>
    <xf numFmtId="0" fontId="61" fillId="0" borderId="42" xfId="0" applyFont="1" applyBorder="1" applyAlignment="1">
      <alignment vertical="center" wrapText="1"/>
    </xf>
    <xf numFmtId="0" fontId="61" fillId="0" borderId="43" xfId="0" applyFont="1" applyBorder="1" applyAlignment="1">
      <alignment vertical="center" wrapText="1"/>
    </xf>
    <xf numFmtId="0" fontId="61" fillId="23" borderId="44" xfId="0" applyFont="1" applyFill="1" applyBorder="1" applyAlignment="1">
      <alignment vertical="center" wrapText="1"/>
    </xf>
    <xf numFmtId="0" fontId="61" fillId="23" borderId="43" xfId="0" applyFont="1" applyFill="1" applyBorder="1" applyAlignment="1">
      <alignment vertical="center" wrapText="1"/>
    </xf>
    <xf numFmtId="0" fontId="31" fillId="0" borderId="45" xfId="0" applyFont="1" applyBorder="1" applyAlignment="1">
      <alignment vertical="center" wrapText="1"/>
    </xf>
    <xf numFmtId="0" fontId="31" fillId="0" borderId="43" xfId="0" applyFont="1" applyBorder="1" applyAlignment="1">
      <alignment vertical="center" wrapText="1"/>
    </xf>
    <xf numFmtId="0" fontId="0" fillId="15" borderId="1" xfId="0" quotePrefix="1" applyFill="1" applyBorder="1" applyAlignment="1" applyProtection="1">
      <alignment horizontal="left" vertical="center" wrapText="1"/>
      <protection locked="0"/>
    </xf>
    <xf numFmtId="0" fontId="6" fillId="15" borderId="1" xfId="1" applyFill="1" applyBorder="1" applyAlignment="1" applyProtection="1">
      <alignment horizontal="left" vertical="center" wrapText="1"/>
      <protection locked="0"/>
    </xf>
    <xf numFmtId="0" fontId="6" fillId="15" borderId="1" xfId="1" quotePrefix="1" applyFill="1" applyBorder="1" applyAlignment="1" applyProtection="1">
      <alignment horizontal="left" vertical="center" wrapText="1"/>
      <protection locked="0"/>
    </xf>
    <xf numFmtId="0" fontId="30" fillId="0" borderId="16" xfId="0" applyFont="1" applyBorder="1" applyAlignment="1">
      <alignment horizontal="left" vertical="center" wrapText="1"/>
    </xf>
    <xf numFmtId="0" fontId="30" fillId="0" borderId="17" xfId="0" applyFont="1" applyBorder="1" applyAlignment="1">
      <alignment horizontal="left" vertical="center" wrapText="1"/>
    </xf>
    <xf numFmtId="0" fontId="46" fillId="11" borderId="1" xfId="0" applyFont="1" applyFill="1" applyBorder="1" applyAlignment="1" applyProtection="1">
      <alignment horizontal="center" vertical="center" wrapText="1"/>
    </xf>
    <xf numFmtId="0" fontId="29" fillId="0" borderId="2" xfId="0" applyNumberFormat="1" applyFont="1" applyBorder="1" applyAlignment="1">
      <alignment horizontal="center" vertical="center" wrapText="1"/>
    </xf>
    <xf numFmtId="0" fontId="29" fillId="0" borderId="38" xfId="0" applyNumberFormat="1" applyFont="1" applyBorder="1" applyAlignment="1">
      <alignment horizontal="center" vertical="center" wrapText="1"/>
    </xf>
    <xf numFmtId="0" fontId="0" fillId="0" borderId="0" xfId="0" applyAlignment="1">
      <alignment horizontal="left" vertical="center" wrapText="1"/>
    </xf>
    <xf numFmtId="0" fontId="30" fillId="0" borderId="16" xfId="0" applyFont="1" applyBorder="1" applyAlignment="1">
      <alignment horizontal="left" vertical="center" wrapText="1"/>
    </xf>
    <xf numFmtId="0" fontId="30" fillId="0" borderId="17" xfId="0" applyFont="1" applyBorder="1" applyAlignment="1">
      <alignment horizontal="left" vertical="center" wrapText="1"/>
    </xf>
    <xf numFmtId="0" fontId="30" fillId="0" borderId="36" xfId="0" applyFont="1" applyBorder="1" applyAlignment="1">
      <alignment horizontal="left" vertical="center" wrapText="1"/>
    </xf>
    <xf numFmtId="0" fontId="30" fillId="0" borderId="37" xfId="0" applyFont="1" applyBorder="1" applyAlignment="1">
      <alignment horizontal="left" vertical="center" wrapText="1"/>
    </xf>
    <xf numFmtId="0" fontId="64" fillId="5" borderId="0" xfId="7" applyFont="1" applyFill="1" applyBorder="1" applyAlignment="1" applyProtection="1">
      <alignment horizontal="center" vertical="center"/>
      <protection hidden="1"/>
    </xf>
    <xf numFmtId="0" fontId="64" fillId="5" borderId="0" xfId="7" applyFont="1" applyFill="1" applyBorder="1" applyAlignment="1" applyProtection="1">
      <alignment vertical="center"/>
      <protection hidden="1"/>
    </xf>
    <xf numFmtId="0" fontId="68" fillId="5" borderId="0" xfId="7" applyFont="1" applyFill="1" applyBorder="1" applyAlignment="1" applyProtection="1">
      <protection hidden="1"/>
    </xf>
    <xf numFmtId="0" fontId="67" fillId="5" borderId="0" xfId="7" applyFont="1" applyFill="1" applyBorder="1" applyAlignment="1" applyProtection="1">
      <protection hidden="1"/>
    </xf>
    <xf numFmtId="0" fontId="0" fillId="0" borderId="0" xfId="0" applyBorder="1"/>
    <xf numFmtId="0" fontId="0" fillId="24" borderId="6" xfId="0" applyFill="1" applyBorder="1" applyProtection="1"/>
    <xf numFmtId="0" fontId="0" fillId="24" borderId="5" xfId="0" applyFill="1" applyBorder="1" applyProtection="1"/>
    <xf numFmtId="0" fontId="0" fillId="24" borderId="7" xfId="0" applyFill="1" applyBorder="1" applyProtection="1"/>
    <xf numFmtId="0" fontId="0" fillId="24" borderId="8" xfId="0" applyFill="1" applyBorder="1" applyProtection="1"/>
    <xf numFmtId="0" fontId="0" fillId="16" borderId="5" xfId="0" applyFill="1" applyBorder="1" applyProtection="1"/>
    <xf numFmtId="0" fontId="0" fillId="16" borderId="6" xfId="0" applyFill="1" applyBorder="1" applyProtection="1"/>
    <xf numFmtId="0" fontId="0" fillId="16" borderId="8" xfId="0" applyFill="1" applyBorder="1" applyProtection="1"/>
    <xf numFmtId="0" fontId="0" fillId="16" borderId="0" xfId="0" applyFill="1" applyBorder="1" applyProtection="1"/>
    <xf numFmtId="0" fontId="47" fillId="16" borderId="0" xfId="0" applyFont="1" applyFill="1" applyBorder="1" applyAlignment="1" applyProtection="1">
      <alignment horizontal="center" vertical="center"/>
    </xf>
    <xf numFmtId="0" fontId="57" fillId="16" borderId="0" xfId="0" applyFont="1" applyFill="1" applyBorder="1" applyAlignment="1" applyProtection="1">
      <alignment horizontal="left"/>
    </xf>
    <xf numFmtId="0" fontId="21" fillId="25" borderId="8" xfId="0" applyFont="1" applyFill="1" applyBorder="1" applyProtection="1"/>
    <xf numFmtId="0" fontId="44" fillId="25" borderId="0" xfId="0" applyFont="1" applyFill="1" applyBorder="1" applyProtection="1"/>
    <xf numFmtId="0" fontId="40" fillId="25" borderId="0" xfId="0" applyFont="1" applyFill="1" applyBorder="1" applyProtection="1"/>
    <xf numFmtId="0" fontId="44" fillId="25" borderId="9" xfId="0" applyFont="1" applyFill="1" applyBorder="1" applyProtection="1"/>
    <xf numFmtId="0" fontId="41" fillId="25" borderId="8" xfId="0" applyFont="1" applyFill="1" applyBorder="1" applyProtection="1"/>
    <xf numFmtId="0" fontId="42" fillId="25" borderId="0" xfId="1" applyFont="1" applyFill="1" applyBorder="1" applyAlignment="1" applyProtection="1">
      <protection locked="0" hidden="1"/>
    </xf>
    <xf numFmtId="0" fontId="43" fillId="25" borderId="0" xfId="0" applyFont="1" applyFill="1" applyBorder="1" applyProtection="1"/>
    <xf numFmtId="0" fontId="42" fillId="25" borderId="9" xfId="1" applyFont="1" applyFill="1" applyBorder="1" applyAlignment="1" applyProtection="1">
      <protection locked="0" hidden="1"/>
    </xf>
    <xf numFmtId="0" fontId="45" fillId="25" borderId="0" xfId="1" applyFont="1" applyFill="1" applyBorder="1" applyAlignment="1" applyProtection="1">
      <protection locked="0" hidden="1"/>
    </xf>
    <xf numFmtId="0" fontId="45" fillId="25" borderId="9" xfId="1" applyFont="1" applyFill="1" applyBorder="1" applyAlignment="1" applyProtection="1">
      <protection locked="0" hidden="1"/>
    </xf>
    <xf numFmtId="0" fontId="0" fillId="25" borderId="0" xfId="0" applyFill="1" applyBorder="1" applyProtection="1"/>
    <xf numFmtId="0" fontId="43" fillId="25" borderId="9" xfId="0" applyFont="1" applyFill="1" applyBorder="1" applyProtection="1"/>
    <xf numFmtId="0" fontId="0" fillId="25" borderId="9" xfId="0" applyFill="1" applyBorder="1" applyProtection="1"/>
    <xf numFmtId="0" fontId="0" fillId="25" borderId="10" xfId="0" applyFill="1" applyBorder="1" applyProtection="1"/>
    <xf numFmtId="0" fontId="0" fillId="25" borderId="11" xfId="0" applyFill="1" applyBorder="1" applyProtection="1"/>
    <xf numFmtId="0" fontId="0" fillId="25" borderId="12" xfId="0" applyFill="1" applyBorder="1" applyProtection="1"/>
    <xf numFmtId="0" fontId="65" fillId="5" borderId="0" xfId="7" applyFont="1" applyFill="1" applyAlignment="1" applyProtection="1">
      <alignment vertical="center"/>
      <protection hidden="1"/>
    </xf>
    <xf numFmtId="0" fontId="65" fillId="5" borderId="0" xfId="7" applyFont="1" applyFill="1" applyBorder="1" applyAlignment="1" applyProtection="1">
      <alignment vertical="center"/>
      <protection hidden="1"/>
    </xf>
    <xf numFmtId="0" fontId="0" fillId="24" borderId="9" xfId="0" applyFill="1" applyBorder="1" applyProtection="1"/>
    <xf numFmtId="0" fontId="0" fillId="25" borderId="5" xfId="0" applyFill="1" applyBorder="1" applyProtection="1"/>
    <xf numFmtId="0" fontId="0" fillId="25" borderId="8" xfId="0" applyFill="1" applyBorder="1" applyProtection="1"/>
    <xf numFmtId="0" fontId="0" fillId="24" borderId="0" xfId="0" applyFill="1" applyBorder="1" applyProtection="1"/>
    <xf numFmtId="0" fontId="27" fillId="24" borderId="0" xfId="0" applyFont="1" applyFill="1" applyBorder="1" applyProtection="1"/>
    <xf numFmtId="0" fontId="29" fillId="0" borderId="2" xfId="0" applyFont="1" applyBorder="1" applyAlignment="1">
      <alignment horizontal="center" vertical="center" wrapText="1"/>
    </xf>
    <xf numFmtId="0" fontId="29" fillId="0" borderId="23" xfId="0" applyFont="1" applyBorder="1" applyAlignment="1">
      <alignment horizontal="center" vertical="center" wrapText="1"/>
    </xf>
    <xf numFmtId="0" fontId="29" fillId="0" borderId="21" xfId="0" applyFont="1" applyBorder="1" applyAlignment="1">
      <alignment horizontal="center" vertical="center" wrapText="1"/>
    </xf>
    <xf numFmtId="0" fontId="30" fillId="0" borderId="16" xfId="0" applyFont="1" applyBorder="1" applyAlignment="1">
      <alignment vertical="top" wrapText="1"/>
    </xf>
    <xf numFmtId="0" fontId="30" fillId="0" borderId="17" xfId="0" applyFont="1" applyBorder="1" applyAlignment="1">
      <alignment vertical="top" wrapText="1"/>
    </xf>
    <xf numFmtId="0" fontId="30" fillId="0" borderId="18" xfId="0" applyFont="1" applyBorder="1" applyAlignment="1">
      <alignment vertical="top" wrapText="1"/>
    </xf>
    <xf numFmtId="0" fontId="30" fillId="0" borderId="20" xfId="0" applyFont="1" applyBorder="1" applyAlignment="1">
      <alignment vertical="top" wrapText="1"/>
    </xf>
    <xf numFmtId="0" fontId="0" fillId="0" borderId="0" xfId="0" applyAlignment="1">
      <alignment horizontal="center"/>
    </xf>
    <xf numFmtId="0" fontId="35" fillId="0" borderId="0" xfId="0" applyFont="1" applyProtection="1"/>
    <xf numFmtId="0" fontId="35" fillId="0" borderId="0" xfId="0" applyFont="1" applyAlignment="1" applyProtection="1">
      <alignment horizontal="center"/>
    </xf>
    <xf numFmtId="2" fontId="0" fillId="0" borderId="0" xfId="0" applyNumberFormat="1" applyProtection="1"/>
    <xf numFmtId="2" fontId="0" fillId="0" borderId="0" xfId="0" applyNumberFormat="1" applyAlignment="1" applyProtection="1">
      <alignment horizontal="center" vertical="center"/>
    </xf>
    <xf numFmtId="0" fontId="0" fillId="0" borderId="1" xfId="0" applyBorder="1" applyAlignment="1">
      <alignment horizontal="center"/>
    </xf>
    <xf numFmtId="0" fontId="0" fillId="0" borderId="1" xfId="0" applyBorder="1"/>
    <xf numFmtId="0" fontId="0" fillId="0" borderId="1" xfId="0" applyBorder="1" applyAlignment="1">
      <alignment horizontal="left" vertical="center"/>
    </xf>
    <xf numFmtId="0" fontId="0" fillId="0" borderId="1" xfId="0" applyBorder="1" applyAlignment="1">
      <alignment horizontal="center" vertical="center"/>
    </xf>
    <xf numFmtId="0" fontId="46" fillId="26" borderId="1" xfId="0" applyFont="1" applyFill="1" applyBorder="1" applyAlignment="1">
      <alignment horizontal="center" vertical="center"/>
    </xf>
    <xf numFmtId="0" fontId="76" fillId="25" borderId="0" xfId="1" applyFont="1" applyFill="1" applyBorder="1" applyAlignment="1" applyProtection="1"/>
    <xf numFmtId="0" fontId="77" fillId="0" borderId="0" xfId="0" applyFont="1" applyAlignment="1">
      <alignment vertical="center"/>
    </xf>
    <xf numFmtId="0" fontId="78" fillId="0" borderId="1" xfId="0" applyFont="1" applyFill="1" applyBorder="1" applyAlignment="1">
      <alignment vertical="center"/>
    </xf>
    <xf numFmtId="0" fontId="79" fillId="0" borderId="1" xfId="0" applyFont="1" applyFill="1" applyBorder="1" applyAlignment="1">
      <alignment vertical="center"/>
    </xf>
    <xf numFmtId="0" fontId="80" fillId="0" borderId="1" xfId="0" applyFont="1" applyBorder="1" applyAlignment="1">
      <alignment horizontal="center" vertical="center"/>
    </xf>
    <xf numFmtId="0" fontId="81" fillId="0" borderId="1" xfId="0" applyFont="1" applyBorder="1" applyAlignment="1">
      <alignment horizontal="center" vertical="center"/>
    </xf>
    <xf numFmtId="0" fontId="12" fillId="15" borderId="1" xfId="0" quotePrefix="1" applyFont="1" applyFill="1" applyBorder="1" applyAlignment="1" applyProtection="1">
      <alignment horizontal="center"/>
      <protection locked="0"/>
    </xf>
    <xf numFmtId="167" fontId="12" fillId="15" borderId="1" xfId="0" applyNumberFormat="1" applyFont="1" applyFill="1" applyBorder="1" applyAlignment="1" applyProtection="1">
      <alignment horizontal="left" vertical="center"/>
      <protection locked="0"/>
    </xf>
    <xf numFmtId="167" fontId="12" fillId="15" borderId="1" xfId="0" quotePrefix="1" applyNumberFormat="1" applyFont="1" applyFill="1" applyBorder="1" applyAlignment="1" applyProtection="1">
      <alignment horizontal="left" vertical="center"/>
      <protection locked="0"/>
    </xf>
    <xf numFmtId="0" fontId="12" fillId="15" borderId="1" xfId="0" quotePrefix="1" applyNumberFormat="1" applyFont="1" applyFill="1" applyBorder="1" applyAlignment="1" applyProtection="1">
      <alignment horizontal="center"/>
      <protection locked="0"/>
    </xf>
    <xf numFmtId="0" fontId="14" fillId="15" borderId="1" xfId="0" quotePrefix="1" applyNumberFormat="1" applyFont="1" applyFill="1" applyBorder="1" applyAlignment="1" applyProtection="1">
      <alignment horizontal="center"/>
      <protection locked="0"/>
    </xf>
    <xf numFmtId="0" fontId="12" fillId="15" borderId="1" xfId="0" applyNumberFormat="1" applyFont="1" applyFill="1" applyBorder="1" applyAlignment="1" applyProtection="1">
      <alignment horizontal="center"/>
      <protection locked="0"/>
    </xf>
    <xf numFmtId="2" fontId="0" fillId="0" borderId="0" xfId="0" applyNumberFormat="1" applyAlignment="1" applyProtection="1">
      <alignment horizontal="center" vertical="center" wrapText="1"/>
    </xf>
    <xf numFmtId="0" fontId="0" fillId="0" borderId="0" xfId="0" applyAlignment="1" applyProtection="1">
      <alignment vertical="center"/>
      <protection locked="0"/>
    </xf>
    <xf numFmtId="2" fontId="0" fillId="0" borderId="1" xfId="0" applyNumberFormat="1" applyBorder="1" applyAlignment="1" applyProtection="1">
      <alignment horizontal="center" vertical="center" wrapText="1"/>
      <protection locked="0"/>
    </xf>
    <xf numFmtId="0" fontId="48" fillId="24" borderId="0" xfId="0" applyFont="1" applyFill="1" applyBorder="1" applyAlignment="1" applyProtection="1">
      <alignment horizontal="center" vertical="center"/>
    </xf>
    <xf numFmtId="0" fontId="48" fillId="24" borderId="9" xfId="0" applyFont="1" applyFill="1" applyBorder="1" applyAlignment="1" applyProtection="1">
      <alignment horizontal="center" vertical="center"/>
    </xf>
    <xf numFmtId="0" fontId="71" fillId="25" borderId="6" xfId="0" applyFont="1" applyFill="1" applyBorder="1" applyAlignment="1" applyProtection="1">
      <alignment horizontal="center" vertical="center"/>
    </xf>
    <xf numFmtId="0" fontId="71" fillId="25" borderId="7" xfId="0" applyFont="1" applyFill="1" applyBorder="1" applyAlignment="1" applyProtection="1">
      <alignment horizontal="center" vertical="center"/>
    </xf>
    <xf numFmtId="0" fontId="49" fillId="24" borderId="0" xfId="0" applyFont="1" applyFill="1" applyBorder="1" applyAlignment="1" applyProtection="1">
      <alignment horizontal="center" vertical="top"/>
    </xf>
    <xf numFmtId="0" fontId="49" fillId="24" borderId="9" xfId="0" applyFont="1" applyFill="1" applyBorder="1" applyAlignment="1" applyProtection="1">
      <alignment horizontal="center" vertical="top"/>
    </xf>
    <xf numFmtId="0" fontId="47" fillId="24" borderId="0" xfId="0" applyFont="1" applyFill="1" applyBorder="1" applyAlignment="1" applyProtection="1">
      <alignment horizontal="center" vertical="center"/>
    </xf>
    <xf numFmtId="0" fontId="47" fillId="24" borderId="9" xfId="0" applyFont="1" applyFill="1" applyBorder="1" applyAlignment="1" applyProtection="1">
      <alignment horizontal="center" vertical="center"/>
    </xf>
    <xf numFmtId="0" fontId="72" fillId="24" borderId="0" xfId="0" applyFont="1" applyFill="1" applyBorder="1" applyAlignment="1" applyProtection="1">
      <alignment horizontal="center"/>
    </xf>
    <xf numFmtId="0" fontId="72" fillId="24" borderId="9" xfId="0" applyFont="1" applyFill="1" applyBorder="1" applyAlignment="1" applyProtection="1">
      <alignment horizontal="center"/>
    </xf>
    <xf numFmtId="0" fontId="21" fillId="24" borderId="0" xfId="0" applyFont="1" applyFill="1" applyBorder="1" applyAlignment="1" applyProtection="1">
      <alignment horizontal="center"/>
    </xf>
    <xf numFmtId="0" fontId="21" fillId="24" borderId="9" xfId="0" applyFont="1" applyFill="1" applyBorder="1" applyAlignment="1" applyProtection="1">
      <alignment horizontal="center"/>
    </xf>
    <xf numFmtId="0" fontId="50" fillId="24" borderId="0" xfId="0" applyFont="1" applyFill="1" applyBorder="1" applyAlignment="1" applyProtection="1">
      <alignment horizontal="center"/>
    </xf>
    <xf numFmtId="0" fontId="50" fillId="24" borderId="9" xfId="0" applyFont="1" applyFill="1" applyBorder="1" applyAlignment="1" applyProtection="1">
      <alignment horizontal="center"/>
    </xf>
    <xf numFmtId="0" fontId="34" fillId="7" borderId="0" xfId="1" applyFont="1" applyFill="1" applyAlignment="1" applyProtection="1">
      <alignment horizontal="center" vertical="center"/>
      <protection locked="0" hidden="1"/>
    </xf>
    <xf numFmtId="0" fontId="20" fillId="2" borderId="4" xfId="0" applyFont="1" applyFill="1" applyBorder="1" applyAlignment="1" applyProtection="1">
      <alignment horizontal="center" vertical="center"/>
    </xf>
    <xf numFmtId="0" fontId="20" fillId="2" borderId="3" xfId="0" applyFont="1" applyFill="1" applyBorder="1" applyAlignment="1" applyProtection="1">
      <alignment horizontal="center" vertical="center"/>
    </xf>
    <xf numFmtId="0" fontId="73" fillId="0" borderId="19" xfId="0" applyFont="1" applyBorder="1" applyAlignment="1" applyProtection="1">
      <alignment horizontal="center" vertical="center"/>
    </xf>
    <xf numFmtId="0" fontId="34" fillId="7" borderId="0" xfId="1" applyFont="1" applyFill="1" applyAlignment="1" applyProtection="1">
      <alignment horizontal="center" vertical="center"/>
      <protection locked="0"/>
    </xf>
    <xf numFmtId="0" fontId="0" fillId="18" borderId="1" xfId="0" applyFill="1" applyBorder="1" applyAlignment="1">
      <alignment horizontal="center" vertical="center"/>
    </xf>
    <xf numFmtId="0" fontId="0" fillId="13" borderId="1" xfId="0" applyFill="1" applyBorder="1" applyAlignment="1">
      <alignment horizontal="center" vertical="center" wrapText="1"/>
    </xf>
    <xf numFmtId="0" fontId="26" fillId="2" borderId="1" xfId="0" applyFont="1" applyFill="1" applyBorder="1" applyAlignment="1">
      <alignment horizontal="center" vertical="center" wrapText="1"/>
    </xf>
    <xf numFmtId="0" fontId="0" fillId="18" borderId="1" xfId="0" applyFont="1" applyFill="1" applyBorder="1" applyAlignment="1">
      <alignment horizontal="center" vertical="center"/>
    </xf>
    <xf numFmtId="0" fontId="0" fillId="17" borderId="2" xfId="0" applyFill="1" applyBorder="1" applyAlignment="1">
      <alignment horizontal="center" vertical="center"/>
    </xf>
    <xf numFmtId="0" fontId="0" fillId="17" borderId="21" xfId="0" applyFill="1" applyBorder="1" applyAlignment="1">
      <alignment horizontal="center" vertical="center"/>
    </xf>
    <xf numFmtId="0" fontId="0" fillId="13" borderId="4" xfId="0" applyFill="1" applyBorder="1" applyAlignment="1">
      <alignment horizontal="center" vertical="center" wrapText="1"/>
    </xf>
    <xf numFmtId="0" fontId="0" fillId="13" borderId="3" xfId="0" applyFill="1" applyBorder="1" applyAlignment="1">
      <alignment horizontal="center" vertical="center" wrapText="1"/>
    </xf>
    <xf numFmtId="0" fontId="0" fillId="17" borderId="1" xfId="0" applyFill="1" applyBorder="1" applyAlignment="1">
      <alignment horizontal="center" vertical="center" wrapText="1"/>
    </xf>
    <xf numFmtId="0" fontId="0" fillId="17" borderId="4" xfId="0" applyFill="1" applyBorder="1" applyAlignment="1">
      <alignment horizontal="center" vertical="center" wrapText="1"/>
    </xf>
    <xf numFmtId="0" fontId="0" fillId="17" borderId="22" xfId="0" applyFill="1" applyBorder="1" applyAlignment="1">
      <alignment horizontal="center" vertical="center" wrapText="1"/>
    </xf>
    <xf numFmtId="0" fontId="0" fillId="17" borderId="3" xfId="0" applyFill="1" applyBorder="1" applyAlignment="1">
      <alignment horizontal="center" vertical="center" wrapText="1"/>
    </xf>
    <xf numFmtId="0" fontId="0" fillId="13" borderId="22" xfId="0" applyFill="1" applyBorder="1" applyAlignment="1">
      <alignment horizontal="center" vertical="center" wrapText="1"/>
    </xf>
    <xf numFmtId="0" fontId="26" fillId="2" borderId="2" xfId="0" applyFont="1" applyFill="1" applyBorder="1" applyAlignment="1">
      <alignment horizontal="center" vertical="center" wrapText="1"/>
    </xf>
    <xf numFmtId="0" fontId="26" fillId="2" borderId="23" xfId="0" applyFont="1" applyFill="1" applyBorder="1" applyAlignment="1">
      <alignment horizontal="center" vertical="center" wrapText="1"/>
    </xf>
    <xf numFmtId="0" fontId="26" fillId="2" borderId="21" xfId="0" applyFont="1" applyFill="1" applyBorder="1" applyAlignment="1">
      <alignment horizontal="center" vertical="center" wrapText="1"/>
    </xf>
    <xf numFmtId="0" fontId="0" fillId="18" borderId="4" xfId="0" applyFont="1" applyFill="1" applyBorder="1" applyAlignment="1">
      <alignment horizontal="center" vertical="center"/>
    </xf>
    <xf numFmtId="0" fontId="0" fillId="18" borderId="22" xfId="0" applyFont="1" applyFill="1" applyBorder="1" applyAlignment="1">
      <alignment horizontal="center" vertical="center"/>
    </xf>
    <xf numFmtId="0" fontId="0" fillId="18" borderId="3" xfId="0" applyFont="1" applyFill="1" applyBorder="1" applyAlignment="1">
      <alignment horizontal="center" vertical="center"/>
    </xf>
    <xf numFmtId="0" fontId="26" fillId="2" borderId="4" xfId="0" applyFont="1" applyFill="1" applyBorder="1" applyAlignment="1">
      <alignment horizontal="center" vertical="center"/>
    </xf>
    <xf numFmtId="0" fontId="26" fillId="2" borderId="22" xfId="0" applyFont="1" applyFill="1" applyBorder="1" applyAlignment="1">
      <alignment horizontal="center" vertical="center"/>
    </xf>
    <xf numFmtId="0" fontId="26" fillId="2" borderId="3" xfId="0" applyFont="1" applyFill="1" applyBorder="1" applyAlignment="1">
      <alignment horizontal="center" vertical="center"/>
    </xf>
    <xf numFmtId="0" fontId="0" fillId="13" borderId="4" xfId="0" applyFill="1" applyBorder="1" applyAlignment="1" applyProtection="1">
      <alignment horizontal="center" vertical="center" wrapText="1"/>
    </xf>
    <xf numFmtId="0" fontId="0" fillId="13" borderId="22" xfId="0" applyFill="1" applyBorder="1" applyAlignment="1" applyProtection="1">
      <alignment horizontal="center" vertical="center" wrapText="1"/>
    </xf>
    <xf numFmtId="0" fontId="0" fillId="13" borderId="3" xfId="0" applyFill="1" applyBorder="1" applyAlignment="1" applyProtection="1">
      <alignment horizontal="center" vertical="center" wrapText="1"/>
    </xf>
    <xf numFmtId="0" fontId="0" fillId="14" borderId="1" xfId="0" applyFill="1" applyBorder="1" applyAlignment="1" applyProtection="1">
      <alignment horizontal="center" vertical="center" wrapText="1"/>
    </xf>
    <xf numFmtId="0" fontId="26" fillId="2" borderId="4" xfId="0" applyFont="1" applyFill="1" applyBorder="1" applyAlignment="1" applyProtection="1">
      <alignment horizontal="center" vertical="center"/>
    </xf>
    <xf numFmtId="0" fontId="26" fillId="2" borderId="22" xfId="0" applyFont="1" applyFill="1" applyBorder="1" applyAlignment="1" applyProtection="1">
      <alignment horizontal="center" vertical="center"/>
    </xf>
    <xf numFmtId="0" fontId="26" fillId="2" borderId="3" xfId="0" applyFont="1" applyFill="1" applyBorder="1" applyAlignment="1" applyProtection="1">
      <alignment horizontal="center" vertical="center"/>
    </xf>
    <xf numFmtId="0" fontId="0" fillId="13" borderId="1" xfId="0" applyFill="1" applyBorder="1" applyAlignment="1" applyProtection="1">
      <alignment horizontal="center" vertical="center" wrapText="1"/>
    </xf>
    <xf numFmtId="0" fontId="0" fillId="14" borderId="4" xfId="0" applyFill="1" applyBorder="1" applyAlignment="1" applyProtection="1">
      <alignment horizontal="center" vertical="center"/>
    </xf>
    <xf numFmtId="0" fontId="0" fillId="14" borderId="22" xfId="0" applyFill="1" applyBorder="1" applyAlignment="1" applyProtection="1">
      <alignment horizontal="center" vertical="center"/>
    </xf>
    <xf numFmtId="0" fontId="0" fillId="14" borderId="3" xfId="0" applyFill="1" applyBorder="1" applyAlignment="1" applyProtection="1">
      <alignment horizontal="center" vertical="center"/>
    </xf>
    <xf numFmtId="0" fontId="0" fillId="14" borderId="1" xfId="0" applyFill="1" applyBorder="1" applyAlignment="1" applyProtection="1">
      <alignment horizontal="center" vertical="center"/>
    </xf>
    <xf numFmtId="0" fontId="26" fillId="2" borderId="1" xfId="0" applyFont="1" applyFill="1" applyBorder="1" applyAlignment="1" applyProtection="1">
      <alignment horizontal="center" vertical="center" wrapText="1"/>
    </xf>
    <xf numFmtId="0" fontId="0" fillId="14" borderId="1" xfId="0" applyFill="1" applyBorder="1" applyAlignment="1" applyProtection="1">
      <alignment horizontal="center"/>
    </xf>
    <xf numFmtId="0" fontId="0" fillId="13" borderId="2" xfId="0" applyFill="1" applyBorder="1" applyAlignment="1" applyProtection="1">
      <alignment horizontal="center" vertical="center" wrapText="1"/>
    </xf>
    <xf numFmtId="0" fontId="0" fillId="13" borderId="21" xfId="0" applyFill="1" applyBorder="1" applyAlignment="1" applyProtection="1">
      <alignment horizontal="center" vertical="center" wrapText="1"/>
    </xf>
    <xf numFmtId="0" fontId="26" fillId="2" borderId="1" xfId="0" applyFont="1" applyFill="1" applyBorder="1" applyAlignment="1" applyProtection="1">
      <alignment horizontal="center" vertical="center"/>
    </xf>
    <xf numFmtId="0" fontId="26" fillId="20" borderId="4" xfId="0" applyFont="1" applyFill="1" applyBorder="1" applyAlignment="1" applyProtection="1">
      <alignment horizontal="center" vertical="center"/>
    </xf>
    <xf numFmtId="0" fontId="26" fillId="20" borderId="3" xfId="0" applyFont="1" applyFill="1" applyBorder="1" applyAlignment="1" applyProtection="1">
      <alignment horizontal="center" vertical="center"/>
    </xf>
    <xf numFmtId="0" fontId="26" fillId="19" borderId="4" xfId="0" applyFont="1" applyFill="1" applyBorder="1" applyAlignment="1" applyProtection="1">
      <alignment horizontal="center" vertical="center"/>
    </xf>
    <xf numFmtId="0" fontId="26" fillId="19" borderId="3" xfId="0" applyFont="1" applyFill="1" applyBorder="1" applyAlignment="1" applyProtection="1">
      <alignment horizontal="center" vertical="center"/>
    </xf>
    <xf numFmtId="0" fontId="10" fillId="0" borderId="0" xfId="0" applyFont="1" applyAlignment="1">
      <alignment horizontal="center"/>
    </xf>
    <xf numFmtId="0" fontId="0" fillId="0" borderId="0" xfId="0" applyAlignment="1">
      <alignment horizontal="center"/>
    </xf>
    <xf numFmtId="0" fontId="7" fillId="0" borderId="0" xfId="0" applyFont="1" applyAlignment="1">
      <alignment horizontal="center"/>
    </xf>
    <xf numFmtId="0" fontId="55" fillId="0" borderId="0" xfId="0" applyFont="1" applyAlignment="1">
      <alignment horizontal="center"/>
    </xf>
    <xf numFmtId="0" fontId="53" fillId="0" borderId="0" xfId="0" applyFont="1" applyAlignment="1">
      <alignment horizontal="center"/>
    </xf>
    <xf numFmtId="0" fontId="53" fillId="0" borderId="0" xfId="0" applyFont="1" applyAlignment="1">
      <alignment horizontal="center" vertical="center"/>
    </xf>
    <xf numFmtId="0" fontId="10" fillId="0" borderId="0" xfId="0" applyFont="1" applyAlignment="1">
      <alignment horizontal="center" vertical="top"/>
    </xf>
    <xf numFmtId="0" fontId="7" fillId="0" borderId="0" xfId="0" applyFont="1" applyAlignment="1">
      <alignment horizontal="center" vertical="center" wrapText="1"/>
    </xf>
    <xf numFmtId="0" fontId="9" fillId="0" borderId="0" xfId="0" applyFont="1" applyAlignment="1">
      <alignment horizontal="center"/>
    </xf>
    <xf numFmtId="0" fontId="8" fillId="0" borderId="0" xfId="0" applyFont="1" applyAlignment="1">
      <alignment horizontal="left" vertical="top" wrapText="1"/>
    </xf>
    <xf numFmtId="0" fontId="65" fillId="5" borderId="0" xfId="7" applyFont="1" applyFill="1" applyAlignment="1" applyProtection="1">
      <alignment horizontal="center" vertical="center"/>
      <protection hidden="1"/>
    </xf>
    <xf numFmtId="0" fontId="30" fillId="0" borderId="23" xfId="0" applyFont="1" applyBorder="1" applyAlignment="1">
      <alignment horizontal="center" vertical="top" wrapText="1"/>
    </xf>
    <xf numFmtId="0" fontId="31" fillId="0" borderId="0" xfId="0" applyFont="1" applyAlignment="1">
      <alignment horizontal="left" vertical="center"/>
    </xf>
    <xf numFmtId="0" fontId="29" fillId="22" borderId="4" xfId="0" applyFont="1" applyFill="1" applyBorder="1" applyAlignment="1">
      <alignment vertical="center" wrapText="1"/>
    </xf>
    <xf numFmtId="0" fontId="29" fillId="22" borderId="22" xfId="0" applyFont="1" applyFill="1" applyBorder="1" applyAlignment="1">
      <alignment vertical="center" wrapText="1"/>
    </xf>
    <xf numFmtId="0" fontId="29" fillId="22" borderId="3" xfId="0" applyFont="1" applyFill="1" applyBorder="1" applyAlignment="1">
      <alignment vertical="center" wrapText="1"/>
    </xf>
    <xf numFmtId="0" fontId="29" fillId="22" borderId="1" xfId="0" applyFont="1" applyFill="1" applyBorder="1" applyAlignment="1">
      <alignment horizontal="left" vertical="center" wrapText="1"/>
    </xf>
    <xf numFmtId="0" fontId="30" fillId="0" borderId="13" xfId="0" applyFont="1" applyBorder="1" applyAlignment="1">
      <alignment horizontal="left" vertical="center" wrapText="1"/>
    </xf>
    <xf numFmtId="0" fontId="30" fillId="0" borderId="15" xfId="0" applyFont="1" applyBorder="1" applyAlignment="1">
      <alignment horizontal="left" vertical="center" wrapText="1"/>
    </xf>
    <xf numFmtId="0" fontId="30" fillId="0" borderId="39" xfId="0" applyFont="1" applyBorder="1" applyAlignment="1">
      <alignment horizontal="left" vertical="center" wrapText="1"/>
    </xf>
    <xf numFmtId="0" fontId="30" fillId="0" borderId="40" xfId="0" applyFont="1" applyBorder="1" applyAlignment="1">
      <alignment horizontal="left" vertical="center" wrapText="1"/>
    </xf>
    <xf numFmtId="0" fontId="29" fillId="22" borderId="1" xfId="0" applyFont="1" applyFill="1" applyBorder="1" applyAlignment="1">
      <alignment vertical="center" wrapText="1"/>
    </xf>
    <xf numFmtId="0" fontId="29" fillId="11" borderId="1" xfId="0" applyFont="1" applyFill="1" applyBorder="1" applyAlignment="1">
      <alignment horizontal="center" vertical="center" wrapText="1"/>
    </xf>
    <xf numFmtId="0" fontId="29" fillId="11" borderId="13" xfId="0" applyFont="1" applyFill="1" applyBorder="1" applyAlignment="1">
      <alignment horizontal="center" vertical="center" wrapText="1"/>
    </xf>
    <xf numFmtId="0" fontId="29" fillId="11" borderId="14" xfId="0" applyFont="1" applyFill="1" applyBorder="1" applyAlignment="1">
      <alignment horizontal="center" vertical="center" wrapText="1"/>
    </xf>
    <xf numFmtId="0" fontId="29" fillId="11" borderId="15" xfId="0" applyFont="1" applyFill="1" applyBorder="1" applyAlignment="1">
      <alignment horizontal="center" vertical="center" wrapText="1"/>
    </xf>
    <xf numFmtId="0" fontId="29" fillId="11" borderId="16" xfId="0" applyFont="1" applyFill="1" applyBorder="1" applyAlignment="1">
      <alignment horizontal="center" vertical="center" wrapText="1"/>
    </xf>
    <xf numFmtId="0" fontId="29" fillId="11" borderId="0" xfId="0" applyFont="1" applyFill="1" applyBorder="1" applyAlignment="1">
      <alignment horizontal="center" vertical="center" wrapText="1"/>
    </xf>
    <xf numFmtId="0" fontId="29" fillId="11" borderId="17" xfId="0" applyFont="1" applyFill="1" applyBorder="1" applyAlignment="1">
      <alignment horizontal="center" vertical="center" wrapText="1"/>
    </xf>
    <xf numFmtId="0" fontId="29" fillId="11" borderId="18" xfId="0" applyFont="1" applyFill="1" applyBorder="1" applyAlignment="1">
      <alignment horizontal="center" vertical="center" wrapText="1"/>
    </xf>
    <xf numFmtId="0" fontId="29" fillId="11" borderId="19" xfId="0" applyFont="1" applyFill="1" applyBorder="1" applyAlignment="1">
      <alignment horizontal="center" vertical="center" wrapText="1"/>
    </xf>
    <xf numFmtId="0" fontId="29" fillId="11" borderId="20" xfId="0" applyFont="1" applyFill="1" applyBorder="1" applyAlignment="1">
      <alignment horizontal="center" vertical="center" wrapText="1"/>
    </xf>
    <xf numFmtId="0" fontId="29" fillId="11" borderId="21" xfId="0" applyFont="1" applyFill="1" applyBorder="1" applyAlignment="1">
      <alignment horizontal="center" vertical="center" wrapText="1"/>
    </xf>
    <xf numFmtId="0" fontId="29" fillId="11" borderId="2" xfId="0" applyFont="1" applyFill="1" applyBorder="1" applyAlignment="1">
      <alignment horizontal="center" vertical="center" wrapText="1"/>
    </xf>
    <xf numFmtId="0" fontId="29" fillId="11" borderId="18" xfId="0" applyFont="1" applyFill="1" applyBorder="1" applyAlignment="1">
      <alignment horizontal="center" vertical="top" wrapText="1"/>
    </xf>
    <xf numFmtId="0" fontId="29" fillId="11" borderId="20" xfId="0" applyFont="1" applyFill="1" applyBorder="1" applyAlignment="1">
      <alignment horizontal="center" vertical="top" wrapText="1"/>
    </xf>
    <xf numFmtId="0" fontId="30" fillId="0" borderId="36" xfId="0" applyFont="1" applyBorder="1" applyAlignment="1">
      <alignment horizontal="left" vertical="top" wrapText="1"/>
    </xf>
    <xf numFmtId="0" fontId="30" fillId="0" borderId="37" xfId="0" applyFont="1" applyBorder="1" applyAlignment="1">
      <alignment horizontal="left" vertical="top" wrapText="1"/>
    </xf>
    <xf numFmtId="0" fontId="30" fillId="0" borderId="23" xfId="0" applyFont="1" applyBorder="1" applyAlignment="1">
      <alignment horizontal="left" vertical="top" wrapText="1"/>
    </xf>
    <xf numFmtId="0" fontId="30" fillId="0" borderId="21" xfId="0" applyFont="1" applyBorder="1" applyAlignment="1">
      <alignment horizontal="left" vertical="top" wrapText="1"/>
    </xf>
    <xf numFmtId="0" fontId="30" fillId="0" borderId="18" xfId="0" applyFont="1" applyBorder="1" applyAlignment="1">
      <alignment horizontal="left" vertical="top" wrapText="1"/>
    </xf>
    <xf numFmtId="0" fontId="30" fillId="0" borderId="20" xfId="0" applyFont="1" applyBorder="1" applyAlignment="1">
      <alignment horizontal="left" vertical="top" wrapText="1"/>
    </xf>
    <xf numFmtId="0" fontId="31" fillId="0" borderId="0" xfId="0" applyFont="1" applyFill="1" applyAlignment="1">
      <alignment horizontal="left" vertical="center"/>
    </xf>
    <xf numFmtId="0" fontId="0" fillId="0" borderId="0" xfId="0" applyAlignment="1">
      <alignment horizontal="left" vertical="center" wrapText="1"/>
    </xf>
    <xf numFmtId="0" fontId="30" fillId="0" borderId="16" xfId="0" applyFont="1" applyBorder="1" applyAlignment="1">
      <alignment horizontal="left" vertical="center" wrapText="1"/>
    </xf>
    <xf numFmtId="0" fontId="30" fillId="0" borderId="17" xfId="0" applyFont="1" applyBorder="1" applyAlignment="1">
      <alignment horizontal="left" vertical="center" wrapText="1"/>
    </xf>
    <xf numFmtId="0" fontId="29" fillId="22" borderId="4" xfId="0" applyFont="1" applyFill="1" applyBorder="1" applyAlignment="1">
      <alignment horizontal="left" vertical="center" wrapText="1"/>
    </xf>
    <xf numFmtId="0" fontId="29" fillId="22" borderId="22" xfId="0" applyFont="1" applyFill="1" applyBorder="1" applyAlignment="1">
      <alignment horizontal="left" vertical="center" wrapText="1"/>
    </xf>
    <xf numFmtId="0" fontId="29" fillId="22" borderId="3" xfId="0" applyFont="1" applyFill="1" applyBorder="1" applyAlignment="1">
      <alignment horizontal="left" vertical="center" wrapText="1"/>
    </xf>
    <xf numFmtId="0" fontId="29" fillId="11" borderId="4" xfId="0" applyFont="1" applyFill="1" applyBorder="1" applyAlignment="1">
      <alignment horizontal="center" vertical="center"/>
    </xf>
    <xf numFmtId="0" fontId="29" fillId="11" borderId="22" xfId="0" applyFont="1" applyFill="1" applyBorder="1" applyAlignment="1">
      <alignment horizontal="center" vertical="center"/>
    </xf>
    <xf numFmtId="0" fontId="29" fillId="11" borderId="3" xfId="0" applyFont="1" applyFill="1" applyBorder="1" applyAlignment="1">
      <alignment horizontal="center" vertical="center"/>
    </xf>
    <xf numFmtId="0" fontId="30" fillId="0" borderId="27" xfId="0" applyFont="1" applyBorder="1" applyAlignment="1">
      <alignment horizontal="left" vertical="center" wrapText="1"/>
    </xf>
    <xf numFmtId="0" fontId="30" fillId="0" borderId="28" xfId="0" applyFont="1" applyBorder="1" applyAlignment="1">
      <alignment horizontal="left" vertical="center" wrapText="1"/>
    </xf>
    <xf numFmtId="0" fontId="30" fillId="0" borderId="31" xfId="0" applyFont="1" applyBorder="1" applyAlignment="1">
      <alignment horizontal="left" vertical="center" wrapText="1"/>
    </xf>
    <xf numFmtId="0" fontId="30" fillId="0" borderId="32" xfId="0" applyFont="1" applyBorder="1" applyAlignment="1">
      <alignment horizontal="left" vertical="center" wrapText="1"/>
    </xf>
    <xf numFmtId="0" fontId="30" fillId="0" borderId="34" xfId="0" applyFont="1" applyBorder="1" applyAlignment="1">
      <alignment horizontal="left" vertical="center" wrapText="1"/>
    </xf>
    <xf numFmtId="0" fontId="30" fillId="0" borderId="41" xfId="0" applyFont="1" applyBorder="1" applyAlignment="1">
      <alignment horizontal="left" vertical="center" wrapText="1"/>
    </xf>
    <xf numFmtId="0" fontId="30" fillId="0" borderId="16" xfId="0" applyFont="1" applyBorder="1" applyAlignment="1">
      <alignment horizontal="left" vertical="top" wrapText="1"/>
    </xf>
    <xf numFmtId="0" fontId="30" fillId="0" borderId="17" xfId="0" applyFont="1" applyBorder="1" applyAlignment="1">
      <alignment horizontal="left" vertical="top" wrapText="1"/>
    </xf>
    <xf numFmtId="0" fontId="64" fillId="5" borderId="47" xfId="7" applyFont="1" applyFill="1" applyBorder="1" applyAlignment="1" applyProtection="1">
      <alignment horizontal="center" vertical="center"/>
      <protection hidden="1"/>
    </xf>
    <xf numFmtId="0" fontId="68" fillId="5" borderId="0" xfId="7" applyFont="1" applyFill="1" applyBorder="1" applyAlignment="1" applyProtection="1">
      <alignment horizontal="center"/>
      <protection hidden="1"/>
    </xf>
    <xf numFmtId="0" fontId="67" fillId="5" borderId="0" xfId="7" applyFont="1" applyFill="1" applyBorder="1" applyAlignment="1" applyProtection="1">
      <alignment horizontal="center"/>
      <protection hidden="1"/>
    </xf>
    <xf numFmtId="0" fontId="64" fillId="5" borderId="0" xfId="7" applyFont="1" applyFill="1" applyBorder="1" applyAlignment="1" applyProtection="1">
      <alignment horizontal="center" vertical="center"/>
      <protection hidden="1"/>
    </xf>
    <xf numFmtId="0" fontId="30" fillId="0" borderId="29" xfId="0" applyFont="1" applyBorder="1" applyAlignment="1">
      <alignment horizontal="left" vertical="center" wrapText="1"/>
    </xf>
    <xf numFmtId="0" fontId="30" fillId="0" borderId="30" xfId="0" applyFont="1" applyBorder="1" applyAlignment="1">
      <alignment horizontal="left" vertical="center" wrapText="1"/>
    </xf>
    <xf numFmtId="0" fontId="29" fillId="11" borderId="4" xfId="0" applyFont="1" applyFill="1" applyBorder="1" applyAlignment="1">
      <alignment horizontal="center" vertical="center" wrapText="1"/>
    </xf>
    <xf numFmtId="0" fontId="29" fillId="11" borderId="3" xfId="0" applyFont="1" applyFill="1" applyBorder="1" applyAlignment="1">
      <alignment horizontal="center" vertical="center" wrapText="1"/>
    </xf>
    <xf numFmtId="0" fontId="30" fillId="0" borderId="29" xfId="0" applyFont="1" applyBorder="1" applyAlignment="1">
      <alignment vertical="center" wrapText="1"/>
    </xf>
    <xf numFmtId="0" fontId="30" fillId="0" borderId="30" xfId="0" applyFont="1" applyBorder="1" applyAlignment="1">
      <alignment vertical="center" wrapText="1"/>
    </xf>
    <xf numFmtId="0" fontId="29" fillId="0" borderId="1" xfId="0" applyFont="1" applyBorder="1" applyAlignment="1">
      <alignment horizontal="left" vertical="center" wrapText="1"/>
    </xf>
    <xf numFmtId="0" fontId="29" fillId="0" borderId="4" xfId="0" applyFont="1" applyBorder="1" applyAlignment="1">
      <alignment horizontal="left" vertical="center" wrapText="1"/>
    </xf>
    <xf numFmtId="0" fontId="29" fillId="0" borderId="22" xfId="0" applyFont="1" applyBorder="1" applyAlignment="1">
      <alignment horizontal="left" vertical="center" wrapText="1"/>
    </xf>
    <xf numFmtId="0" fontId="29" fillId="0" borderId="3" xfId="0" applyFont="1" applyBorder="1" applyAlignment="1">
      <alignment horizontal="left" vertical="center" wrapText="1"/>
    </xf>
    <xf numFmtId="0" fontId="30" fillId="0" borderId="36" xfId="0" applyFont="1" applyBorder="1" applyAlignment="1">
      <alignment horizontal="left" vertical="center" wrapText="1"/>
    </xf>
    <xf numFmtId="0" fontId="30" fillId="0" borderId="37" xfId="0" applyFont="1" applyBorder="1" applyAlignment="1">
      <alignment horizontal="left" vertical="center" wrapText="1"/>
    </xf>
    <xf numFmtId="0" fontId="29" fillId="5" borderId="1" xfId="0" applyFont="1" applyFill="1" applyBorder="1" applyAlignment="1">
      <alignment vertical="center" wrapText="1"/>
    </xf>
    <xf numFmtId="0" fontId="30" fillId="0" borderId="39" xfId="0" applyFont="1" applyBorder="1" applyAlignment="1">
      <alignment horizontal="center" vertical="center" wrapText="1"/>
    </xf>
    <xf numFmtId="0" fontId="30" fillId="0" borderId="40" xfId="0" applyFont="1" applyBorder="1" applyAlignment="1">
      <alignment horizontal="center" vertical="center" wrapText="1"/>
    </xf>
    <xf numFmtId="0" fontId="65" fillId="5" borderId="46" xfId="7" applyFont="1" applyFill="1" applyBorder="1" applyAlignment="1" applyProtection="1">
      <alignment horizontal="center" vertical="center"/>
      <protection hidden="1"/>
    </xf>
    <xf numFmtId="0" fontId="30" fillId="0" borderId="27" xfId="0" applyFont="1" applyBorder="1" applyAlignment="1">
      <alignment vertical="center" wrapText="1"/>
    </xf>
    <xf numFmtId="0" fontId="30" fillId="0" borderId="28" xfId="0" applyFont="1" applyBorder="1" applyAlignment="1">
      <alignment vertical="center" wrapText="1"/>
    </xf>
    <xf numFmtId="0" fontId="29" fillId="5" borderId="1" xfId="0" applyFont="1" applyFill="1" applyBorder="1" applyAlignment="1">
      <alignment horizontal="left" vertical="center" wrapText="1"/>
    </xf>
    <xf numFmtId="0" fontId="29" fillId="5" borderId="4" xfId="0" applyFont="1" applyFill="1" applyBorder="1" applyAlignment="1">
      <alignment vertical="center" wrapText="1"/>
    </xf>
    <xf numFmtId="0" fontId="29" fillId="5" borderId="22" xfId="0" applyFont="1" applyFill="1" applyBorder="1" applyAlignment="1">
      <alignment vertical="center" wrapText="1"/>
    </xf>
    <xf numFmtId="0" fontId="29" fillId="5" borderId="3" xfId="0" applyFont="1" applyFill="1" applyBorder="1" applyAlignment="1">
      <alignment vertical="center" wrapText="1"/>
    </xf>
    <xf numFmtId="0" fontId="30" fillId="0" borderId="31" xfId="0" applyFont="1" applyBorder="1" applyAlignment="1">
      <alignment vertical="center" wrapText="1"/>
    </xf>
    <xf numFmtId="0" fontId="30" fillId="0" borderId="32" xfId="0" applyFont="1" applyBorder="1" applyAlignment="1">
      <alignment vertical="center" wrapText="1"/>
    </xf>
    <xf numFmtId="0" fontId="30" fillId="0" borderId="36" xfId="0" applyFont="1" applyBorder="1" applyAlignment="1">
      <alignment vertical="center" wrapText="1"/>
    </xf>
    <xf numFmtId="0" fontId="30" fillId="0" borderId="37" xfId="0" applyFont="1" applyBorder="1" applyAlignment="1">
      <alignment vertical="center" wrapText="1"/>
    </xf>
    <xf numFmtId="0" fontId="46" fillId="11" borderId="1" xfId="0" applyFont="1" applyFill="1" applyBorder="1" applyAlignment="1" applyProtection="1">
      <alignment horizontal="center" vertical="center" wrapText="1"/>
    </xf>
    <xf numFmtId="0" fontId="46" fillId="11" borderId="4" xfId="0" applyFont="1" applyFill="1" applyBorder="1" applyAlignment="1" applyProtection="1">
      <alignment horizontal="center" vertical="center"/>
    </xf>
    <xf numFmtId="0" fontId="46" fillId="11" borderId="22" xfId="0" applyFont="1" applyFill="1" applyBorder="1" applyAlignment="1" applyProtection="1">
      <alignment horizontal="center" vertical="center"/>
    </xf>
    <xf numFmtId="0" fontId="46" fillId="11" borderId="3" xfId="0" applyFont="1" applyFill="1" applyBorder="1" applyAlignment="1" applyProtection="1">
      <alignment horizontal="center" vertical="center"/>
    </xf>
    <xf numFmtId="0" fontId="46" fillId="11" borderId="4" xfId="0" applyFont="1" applyFill="1" applyBorder="1" applyAlignment="1" applyProtection="1">
      <alignment horizontal="center" vertical="center" wrapText="1"/>
    </xf>
    <xf numFmtId="0" fontId="46" fillId="11" borderId="22" xfId="0" applyFont="1" applyFill="1" applyBorder="1" applyAlignment="1" applyProtection="1">
      <alignment horizontal="center" vertical="center" wrapText="1"/>
    </xf>
    <xf numFmtId="0" fontId="46" fillId="11" borderId="3" xfId="0" applyFont="1" applyFill="1" applyBorder="1" applyAlignment="1" applyProtection="1">
      <alignment horizontal="center" vertical="center" wrapText="1"/>
    </xf>
    <xf numFmtId="0" fontId="46" fillId="11" borderId="1" xfId="0" applyFont="1" applyFill="1" applyBorder="1" applyAlignment="1" applyProtection="1">
      <alignment horizontal="center" vertical="center"/>
    </xf>
    <xf numFmtId="0" fontId="46" fillId="11" borderId="2" xfId="0" applyFont="1" applyFill="1" applyBorder="1" applyAlignment="1" applyProtection="1">
      <alignment horizontal="center" vertical="center" wrapText="1"/>
    </xf>
    <xf numFmtId="0" fontId="46" fillId="11" borderId="21" xfId="0" applyFont="1" applyFill="1" applyBorder="1" applyAlignment="1" applyProtection="1">
      <alignment horizontal="center" vertical="center" wrapText="1"/>
    </xf>
    <xf numFmtId="0" fontId="46" fillId="11" borderId="1" xfId="0" applyFont="1" applyFill="1" applyBorder="1" applyAlignment="1" applyProtection="1">
      <alignment horizontal="center"/>
    </xf>
    <xf numFmtId="0" fontId="52" fillId="0" borderId="0" xfId="0" applyFont="1" applyFill="1" applyAlignment="1" applyProtection="1">
      <alignment horizontal="left" vertical="center" wrapText="1"/>
    </xf>
    <xf numFmtId="0" fontId="52" fillId="0" borderId="0" xfId="0" applyFont="1" applyFill="1" applyAlignment="1" applyProtection="1">
      <alignment horizontal="left" vertical="center"/>
    </xf>
    <xf numFmtId="0" fontId="26" fillId="2" borderId="1" xfId="0" applyFont="1" applyFill="1" applyBorder="1" applyAlignment="1">
      <alignment horizontal="center" vertical="center"/>
    </xf>
    <xf numFmtId="0" fontId="75" fillId="0" borderId="0" xfId="0" applyFont="1" applyAlignment="1">
      <alignment horizontal="center"/>
    </xf>
    <xf numFmtId="0" fontId="74" fillId="0" borderId="0" xfId="0" applyFont="1" applyAlignment="1">
      <alignment horizontal="center"/>
    </xf>
  </cellXfs>
  <cellStyles count="1334">
    <cellStyle name="Comma [0] 2" xfId="5"/>
    <cellStyle name="Comma [0] 2 2" xfId="16"/>
    <cellStyle name="Comma [0] 2 3" xfId="17"/>
    <cellStyle name="Comma [0] 2 4" xfId="15"/>
    <cellStyle name="Comma [0] 3" xfId="18"/>
    <cellStyle name="Comma [0] 3 10" xfId="75"/>
    <cellStyle name="Comma [0] 3 11" xfId="13"/>
    <cellStyle name="Comma [0] 3 12" xfId="208"/>
    <cellStyle name="Comma [0] 3 13" xfId="212"/>
    <cellStyle name="Comma [0] 3 14" xfId="213"/>
    <cellStyle name="Comma [0] 3 15" xfId="214"/>
    <cellStyle name="Comma [0] 3 16" xfId="215"/>
    <cellStyle name="Comma [0] 3 17" xfId="216"/>
    <cellStyle name="Comma [0] 3 18" xfId="217"/>
    <cellStyle name="Comma [0] 3 19" xfId="218"/>
    <cellStyle name="Comma [0] 3 2" xfId="219"/>
    <cellStyle name="Comma [0] 3 20" xfId="220"/>
    <cellStyle name="Comma [0] 3 21" xfId="221"/>
    <cellStyle name="Comma [0] 3 22" xfId="222"/>
    <cellStyle name="Comma [0] 3 23" xfId="223"/>
    <cellStyle name="Comma [0] 3 24" xfId="224"/>
    <cellStyle name="Comma [0] 3 25" xfId="225"/>
    <cellStyle name="Comma [0] 3 26" xfId="226"/>
    <cellStyle name="Comma [0] 3 27" xfId="227"/>
    <cellStyle name="Comma [0] 3 28" xfId="228"/>
    <cellStyle name="Comma [0] 3 29" xfId="229"/>
    <cellStyle name="Comma [0] 3 3" xfId="230"/>
    <cellStyle name="Comma [0] 3 30" xfId="231"/>
    <cellStyle name="Comma [0] 3 31" xfId="232"/>
    <cellStyle name="Comma [0] 3 32" xfId="233"/>
    <cellStyle name="Comma [0] 3 4" xfId="234"/>
    <cellStyle name="Comma [0] 3 5" xfId="235"/>
    <cellStyle name="Comma [0] 3 6" xfId="236"/>
    <cellStyle name="Comma [0] 3 7" xfId="237"/>
    <cellStyle name="Comma [0] 3 8" xfId="238"/>
    <cellStyle name="Comma [0] 3 9" xfId="239"/>
    <cellStyle name="Comma [0] 4" xfId="19"/>
    <cellStyle name="Comma [0] 5" xfId="20"/>
    <cellStyle name="Comma [0] 6" xfId="14"/>
    <cellStyle name="Comma [0] 7" xfId="4"/>
    <cellStyle name="Comma 10" xfId="638"/>
    <cellStyle name="Comma 100" xfId="637"/>
    <cellStyle name="Comma 101" xfId="636"/>
    <cellStyle name="Comma 102" xfId="635"/>
    <cellStyle name="Comma 103" xfId="634"/>
    <cellStyle name="Comma 104" xfId="633"/>
    <cellStyle name="Comma 105" xfId="632"/>
    <cellStyle name="Comma 106" xfId="630"/>
    <cellStyle name="Comma 107" xfId="624"/>
    <cellStyle name="Comma 108" xfId="629"/>
    <cellStyle name="Comma 109" xfId="626"/>
    <cellStyle name="Comma 11" xfId="631"/>
    <cellStyle name="Comma 110" xfId="625"/>
    <cellStyle name="Comma 111" xfId="628"/>
    <cellStyle name="Comma 112" xfId="627"/>
    <cellStyle name="Comma 113" xfId="623"/>
    <cellStyle name="Comma 114" xfId="622"/>
    <cellStyle name="Comma 115" xfId="621"/>
    <cellStyle name="Comma 116" xfId="620"/>
    <cellStyle name="Comma 117" xfId="619"/>
    <cellStyle name="Comma 118" xfId="618"/>
    <cellStyle name="Comma 119" xfId="617"/>
    <cellStyle name="Comma 12" xfId="613"/>
    <cellStyle name="Comma 120" xfId="612"/>
    <cellStyle name="Comma 121" xfId="611"/>
    <cellStyle name="Comma 122" xfId="615"/>
    <cellStyle name="Comma 123" xfId="614"/>
    <cellStyle name="Comma 124" xfId="616"/>
    <cellStyle name="Comma 125" xfId="610"/>
    <cellStyle name="Comma 126" xfId="609"/>
    <cellStyle name="Comma 127" xfId="608"/>
    <cellStyle name="Comma 128" xfId="607"/>
    <cellStyle name="Comma 129" xfId="606"/>
    <cellStyle name="Comma 13" xfId="605"/>
    <cellStyle name="Comma 130" xfId="604"/>
    <cellStyle name="Comma 131" xfId="603"/>
    <cellStyle name="Comma 132" xfId="602"/>
    <cellStyle name="Comma 133" xfId="601"/>
    <cellStyle name="Comma 134" xfId="600"/>
    <cellStyle name="Comma 135" xfId="599"/>
    <cellStyle name="Comma 136" xfId="598"/>
    <cellStyle name="Comma 137" xfId="597"/>
    <cellStyle name="Comma 138" xfId="596"/>
    <cellStyle name="Comma 139" xfId="595"/>
    <cellStyle name="Comma 14" xfId="594"/>
    <cellStyle name="Comma 140" xfId="593"/>
    <cellStyle name="Comma 141" xfId="592"/>
    <cellStyle name="Comma 142" xfId="591"/>
    <cellStyle name="Comma 143" xfId="590"/>
    <cellStyle name="Comma 144" xfId="589"/>
    <cellStyle name="Comma 145" xfId="588"/>
    <cellStyle name="Comma 146" xfId="587"/>
    <cellStyle name="Comma 147" xfId="586"/>
    <cellStyle name="Comma 148" xfId="585"/>
    <cellStyle name="Comma 149" xfId="584"/>
    <cellStyle name="Comma 15" xfId="583"/>
    <cellStyle name="Comma 150" xfId="582"/>
    <cellStyle name="Comma 151" xfId="581"/>
    <cellStyle name="Comma 152" xfId="580"/>
    <cellStyle name="Comma 153" xfId="579"/>
    <cellStyle name="Comma 154" xfId="578"/>
    <cellStyle name="Comma 155" xfId="577"/>
    <cellStyle name="Comma 156" xfId="576"/>
    <cellStyle name="Comma 157" xfId="575"/>
    <cellStyle name="Comma 158" xfId="574"/>
    <cellStyle name="Comma 159" xfId="573"/>
    <cellStyle name="Comma 16" xfId="572"/>
    <cellStyle name="Comma 160" xfId="571"/>
    <cellStyle name="Comma 161" xfId="570"/>
    <cellStyle name="Comma 162" xfId="569"/>
    <cellStyle name="Comma 163" xfId="568"/>
    <cellStyle name="Comma 164" xfId="567"/>
    <cellStyle name="Comma 165" xfId="566"/>
    <cellStyle name="Comma 166" xfId="565"/>
    <cellStyle name="Comma 167" xfId="564"/>
    <cellStyle name="Comma 168" xfId="563"/>
    <cellStyle name="Comma 169" xfId="562"/>
    <cellStyle name="Comma 17" xfId="561"/>
    <cellStyle name="Comma 170" xfId="560"/>
    <cellStyle name="Comma 171" xfId="559"/>
    <cellStyle name="Comma 172" xfId="558"/>
    <cellStyle name="Comma 173" xfId="557"/>
    <cellStyle name="Comma 174" xfId="556"/>
    <cellStyle name="Comma 175" xfId="555"/>
    <cellStyle name="Comma 176" xfId="554"/>
    <cellStyle name="Comma 177" xfId="553"/>
    <cellStyle name="Comma 178" xfId="552"/>
    <cellStyle name="Comma 179" xfId="551"/>
    <cellStyle name="Comma 18" xfId="550"/>
    <cellStyle name="Comma 180" xfId="549"/>
    <cellStyle name="Comma 181" xfId="548"/>
    <cellStyle name="Comma 182" xfId="547"/>
    <cellStyle name="Comma 183" xfId="546"/>
    <cellStyle name="Comma 184" xfId="545"/>
    <cellStyle name="Comma 185" xfId="544"/>
    <cellStyle name="Comma 186" xfId="543"/>
    <cellStyle name="Comma 187" xfId="542"/>
    <cellStyle name="Comma 188" xfId="541"/>
    <cellStyle name="Comma 189" xfId="540"/>
    <cellStyle name="Comma 19" xfId="539"/>
    <cellStyle name="Comma 190" xfId="538"/>
    <cellStyle name="Comma 191" xfId="537"/>
    <cellStyle name="Comma 192" xfId="536"/>
    <cellStyle name="Comma 193" xfId="535"/>
    <cellStyle name="Comma 194" xfId="534"/>
    <cellStyle name="Comma 195" xfId="533"/>
    <cellStyle name="Comma 196" xfId="532"/>
    <cellStyle name="Comma 197" xfId="531"/>
    <cellStyle name="Comma 198" xfId="530"/>
    <cellStyle name="Comma 199" xfId="529"/>
    <cellStyle name="Comma 2" xfId="240"/>
    <cellStyle name="Comma 2 2" xfId="528"/>
    <cellStyle name="Comma 20" xfId="527"/>
    <cellStyle name="Comma 200" xfId="526"/>
    <cellStyle name="Comma 201" xfId="525"/>
    <cellStyle name="Comma 202" xfId="524"/>
    <cellStyle name="Comma 203" xfId="523"/>
    <cellStyle name="Comma 204" xfId="522"/>
    <cellStyle name="Comma 205" xfId="521"/>
    <cellStyle name="Comma 206" xfId="520"/>
    <cellStyle name="Comma 207" xfId="519"/>
    <cellStyle name="Comma 208" xfId="518"/>
    <cellStyle name="Comma 209" xfId="517"/>
    <cellStyle name="Comma 21" xfId="516"/>
    <cellStyle name="Comma 210" xfId="515"/>
    <cellStyle name="Comma 211" xfId="514"/>
    <cellStyle name="Comma 212" xfId="513"/>
    <cellStyle name="Comma 213" xfId="512"/>
    <cellStyle name="Comma 214" xfId="511"/>
    <cellStyle name="Comma 215" xfId="510"/>
    <cellStyle name="Comma 216" xfId="509"/>
    <cellStyle name="Comma 217" xfId="508"/>
    <cellStyle name="Comma 218" xfId="507"/>
    <cellStyle name="Comma 219" xfId="506"/>
    <cellStyle name="Comma 22" xfId="505"/>
    <cellStyle name="Comma 220" xfId="504"/>
    <cellStyle name="Comma 221" xfId="503"/>
    <cellStyle name="Comma 222" xfId="502"/>
    <cellStyle name="Comma 223" xfId="501"/>
    <cellStyle name="Comma 224" xfId="500"/>
    <cellStyle name="Comma 225" xfId="499"/>
    <cellStyle name="Comma 226" xfId="498"/>
    <cellStyle name="Comma 227" xfId="497"/>
    <cellStyle name="Comma 228" xfId="496"/>
    <cellStyle name="Comma 229" xfId="495"/>
    <cellStyle name="Comma 23" xfId="494"/>
    <cellStyle name="Comma 230" xfId="493"/>
    <cellStyle name="Comma 231" xfId="492"/>
    <cellStyle name="Comma 232" xfId="491"/>
    <cellStyle name="Comma 233" xfId="490"/>
    <cellStyle name="Comma 234" xfId="489"/>
    <cellStyle name="Comma 235" xfId="488"/>
    <cellStyle name="Comma 236" xfId="487"/>
    <cellStyle name="Comma 237" xfId="486"/>
    <cellStyle name="Comma 238" xfId="485"/>
    <cellStyle name="Comma 24" xfId="484"/>
    <cellStyle name="Comma 25" xfId="483"/>
    <cellStyle name="Comma 26" xfId="482"/>
    <cellStyle name="Comma 27" xfId="481"/>
    <cellStyle name="Comma 28" xfId="480"/>
    <cellStyle name="Comma 29" xfId="479"/>
    <cellStyle name="Comma 3" xfId="241"/>
    <cellStyle name="Comma 3 2" xfId="478"/>
    <cellStyle name="Comma 30" xfId="477"/>
    <cellStyle name="Comma 31" xfId="476"/>
    <cellStyle name="Comma 32" xfId="473"/>
    <cellStyle name="Comma 33" xfId="472"/>
    <cellStyle name="Comma 34" xfId="475"/>
    <cellStyle name="Comma 35" xfId="471"/>
    <cellStyle name="Comma 36" xfId="474"/>
    <cellStyle name="Comma 37" xfId="470"/>
    <cellStyle name="Comma 38" xfId="639"/>
    <cellStyle name="Comma 39" xfId="640"/>
    <cellStyle name="Comma 4" xfId="641"/>
    <cellStyle name="Comma 40" xfId="642"/>
    <cellStyle name="Comma 41" xfId="643"/>
    <cellStyle name="Comma 42" xfId="644"/>
    <cellStyle name="Comma 43" xfId="645"/>
    <cellStyle name="Comma 44" xfId="646"/>
    <cellStyle name="Comma 45" xfId="647"/>
    <cellStyle name="Comma 46" xfId="648"/>
    <cellStyle name="Comma 47" xfId="649"/>
    <cellStyle name="Comma 48" xfId="650"/>
    <cellStyle name="Comma 49" xfId="651"/>
    <cellStyle name="Comma 5" xfId="652"/>
    <cellStyle name="Comma 50" xfId="653"/>
    <cellStyle name="Comma 51" xfId="654"/>
    <cellStyle name="Comma 52" xfId="655"/>
    <cellStyle name="Comma 53" xfId="656"/>
    <cellStyle name="Comma 54" xfId="657"/>
    <cellStyle name="Comma 55" xfId="658"/>
    <cellStyle name="Comma 56" xfId="659"/>
    <cellStyle name="Comma 57" xfId="660"/>
    <cellStyle name="Comma 58" xfId="661"/>
    <cellStyle name="Comma 59" xfId="662"/>
    <cellStyle name="Comma 6" xfId="663"/>
    <cellStyle name="Comma 60" xfId="664"/>
    <cellStyle name="Comma 61" xfId="665"/>
    <cellStyle name="Comma 62" xfId="666"/>
    <cellStyle name="Comma 63" xfId="667"/>
    <cellStyle name="Comma 64" xfId="668"/>
    <cellStyle name="Comma 65" xfId="669"/>
    <cellStyle name="Comma 66" xfId="670"/>
    <cellStyle name="Comma 67" xfId="671"/>
    <cellStyle name="Comma 68" xfId="672"/>
    <cellStyle name="Comma 69" xfId="673"/>
    <cellStyle name="Comma 7" xfId="674"/>
    <cellStyle name="Comma 70" xfId="675"/>
    <cellStyle name="Comma 71" xfId="676"/>
    <cellStyle name="Comma 72" xfId="677"/>
    <cellStyle name="Comma 73" xfId="678"/>
    <cellStyle name="Comma 74" xfId="679"/>
    <cellStyle name="Comma 75" xfId="680"/>
    <cellStyle name="Comma 76" xfId="681"/>
    <cellStyle name="Comma 77" xfId="682"/>
    <cellStyle name="Comma 78" xfId="683"/>
    <cellStyle name="Comma 79" xfId="684"/>
    <cellStyle name="Comma 8" xfId="685"/>
    <cellStyle name="Comma 80" xfId="686"/>
    <cellStyle name="Comma 81" xfId="687"/>
    <cellStyle name="Comma 82" xfId="688"/>
    <cellStyle name="Comma 83" xfId="689"/>
    <cellStyle name="Comma 84" xfId="690"/>
    <cellStyle name="Comma 85" xfId="691"/>
    <cellStyle name="Comma 86" xfId="692"/>
    <cellStyle name="Comma 87" xfId="693"/>
    <cellStyle name="Comma 88" xfId="694"/>
    <cellStyle name="Comma 89" xfId="695"/>
    <cellStyle name="Comma 9" xfId="696"/>
    <cellStyle name="Comma 90" xfId="697"/>
    <cellStyle name="Comma 91" xfId="698"/>
    <cellStyle name="Comma 92" xfId="699"/>
    <cellStyle name="Comma 93" xfId="700"/>
    <cellStyle name="Comma 94" xfId="701"/>
    <cellStyle name="Comma 95" xfId="702"/>
    <cellStyle name="Comma 96" xfId="703"/>
    <cellStyle name="Comma 97" xfId="704"/>
    <cellStyle name="Comma 98" xfId="705"/>
    <cellStyle name="Comma 99" xfId="706"/>
    <cellStyle name="Hyperlink" xfId="1" builtinId="8"/>
    <cellStyle name="Hyperlink 2" xfId="6"/>
    <cellStyle name="Normal" xfId="0" builtinId="0"/>
    <cellStyle name="Normal 10" xfId="21"/>
    <cellStyle name="Normal 10 10" xfId="718"/>
    <cellStyle name="Normal 10 10 2" xfId="1069"/>
    <cellStyle name="Normal 10 11" xfId="719"/>
    <cellStyle name="Normal 10 11 2" xfId="1070"/>
    <cellStyle name="Normal 10 12" xfId="720"/>
    <cellStyle name="Normal 10 12 2" xfId="1071"/>
    <cellStyle name="Normal 10 13" xfId="721"/>
    <cellStyle name="Normal 10 13 2" xfId="1072"/>
    <cellStyle name="Normal 10 14" xfId="722"/>
    <cellStyle name="Normal 10 14 2" xfId="1073"/>
    <cellStyle name="Normal 10 15" xfId="787"/>
    <cellStyle name="Normal 10 15 2" xfId="1138"/>
    <cellStyle name="Normal 10 16" xfId="788"/>
    <cellStyle name="Normal 10 16 2" xfId="1139"/>
    <cellStyle name="Normal 10 17" xfId="789"/>
    <cellStyle name="Normal 10 17 2" xfId="1140"/>
    <cellStyle name="Normal 10 18" xfId="790"/>
    <cellStyle name="Normal 10 18 2" xfId="1141"/>
    <cellStyle name="Normal 10 19" xfId="794"/>
    <cellStyle name="Normal 10 19 2" xfId="1145"/>
    <cellStyle name="Normal 10 2" xfId="22"/>
    <cellStyle name="Normal 10 20" xfId="795"/>
    <cellStyle name="Normal 10 20 2" xfId="1146"/>
    <cellStyle name="Normal 10 21" xfId="796"/>
    <cellStyle name="Normal 10 21 2" xfId="1147"/>
    <cellStyle name="Normal 10 22" xfId="797"/>
    <cellStyle name="Normal 10 22 2" xfId="1148"/>
    <cellStyle name="Normal 10 23" xfId="798"/>
    <cellStyle name="Normal 10 23 2" xfId="1149"/>
    <cellStyle name="Normal 10 24" xfId="799"/>
    <cellStyle name="Normal 10 24 2" xfId="1150"/>
    <cellStyle name="Normal 10 25" xfId="800"/>
    <cellStyle name="Normal 10 25 2" xfId="1151"/>
    <cellStyle name="Normal 10 26" xfId="1013"/>
    <cellStyle name="Normal 10 27" xfId="1279"/>
    <cellStyle name="Normal 10 3" xfId="23"/>
    <cellStyle name="Normal 10 4" xfId="24"/>
    <cellStyle name="Normal 10 4 2" xfId="707"/>
    <cellStyle name="Normal 10 4 3" xfId="987"/>
    <cellStyle name="Normal 10 4 4" xfId="1014"/>
    <cellStyle name="Normal 10 5" xfId="25"/>
    <cellStyle name="Normal 10 5 2" xfId="988"/>
    <cellStyle name="Normal 10 5 3" xfId="1015"/>
    <cellStyle name="Normal 10 6" xfId="26"/>
    <cellStyle name="Normal 10 6 2" xfId="1016"/>
    <cellStyle name="Normal 10 7" xfId="723"/>
    <cellStyle name="Normal 10 7 2" xfId="1074"/>
    <cellStyle name="Normal 10 8" xfId="724"/>
    <cellStyle name="Normal 10 8 2" xfId="1075"/>
    <cellStyle name="Normal 10 9" xfId="725"/>
    <cellStyle name="Normal 10 9 2" xfId="1076"/>
    <cellStyle name="Normal 11" xfId="27"/>
    <cellStyle name="Normal 11 10" xfId="726"/>
    <cellStyle name="Normal 11 10 2" xfId="1077"/>
    <cellStyle name="Normal 11 11" xfId="727"/>
    <cellStyle name="Normal 11 11 2" xfId="1078"/>
    <cellStyle name="Normal 11 12" xfId="728"/>
    <cellStyle name="Normal 11 12 2" xfId="1079"/>
    <cellStyle name="Normal 11 13" xfId="729"/>
    <cellStyle name="Normal 11 13 2" xfId="1080"/>
    <cellStyle name="Normal 11 14" xfId="730"/>
    <cellStyle name="Normal 11 14 2" xfId="1081"/>
    <cellStyle name="Normal 11 15" xfId="801"/>
    <cellStyle name="Normal 11 15 2" xfId="1152"/>
    <cellStyle name="Normal 11 16" xfId="802"/>
    <cellStyle name="Normal 11 16 2" xfId="1153"/>
    <cellStyle name="Normal 11 17" xfId="803"/>
    <cellStyle name="Normal 11 17 2" xfId="1154"/>
    <cellStyle name="Normal 11 18" xfId="804"/>
    <cellStyle name="Normal 11 18 2" xfId="1155"/>
    <cellStyle name="Normal 11 19" xfId="805"/>
    <cellStyle name="Normal 11 19 2" xfId="1156"/>
    <cellStyle name="Normal 11 2" xfId="28"/>
    <cellStyle name="Normal 11 20" xfId="806"/>
    <cellStyle name="Normal 11 20 2" xfId="1157"/>
    <cellStyle name="Normal 11 21" xfId="807"/>
    <cellStyle name="Normal 11 21 2" xfId="1158"/>
    <cellStyle name="Normal 11 22" xfId="808"/>
    <cellStyle name="Normal 11 22 2" xfId="1159"/>
    <cellStyle name="Normal 11 23" xfId="809"/>
    <cellStyle name="Normal 11 23 2" xfId="1160"/>
    <cellStyle name="Normal 11 24" xfId="810"/>
    <cellStyle name="Normal 11 24 2" xfId="1161"/>
    <cellStyle name="Normal 11 25" xfId="811"/>
    <cellStyle name="Normal 11 25 2" xfId="1162"/>
    <cellStyle name="Normal 11 26" xfId="1017"/>
    <cellStyle name="Normal 11 27" xfId="1280"/>
    <cellStyle name="Normal 11 3" xfId="29"/>
    <cellStyle name="Normal 11 4" xfId="30"/>
    <cellStyle name="Normal 11 4 2" xfId="708"/>
    <cellStyle name="Normal 11 4 3" xfId="989"/>
    <cellStyle name="Normal 11 4 4" xfId="1018"/>
    <cellStyle name="Normal 11 5" xfId="31"/>
    <cellStyle name="Normal 11 5 2" xfId="990"/>
    <cellStyle name="Normal 11 5 3" xfId="1019"/>
    <cellStyle name="Normal 11 6" xfId="32"/>
    <cellStyle name="Normal 11 6 2" xfId="1020"/>
    <cellStyle name="Normal 11 7" xfId="731"/>
    <cellStyle name="Normal 11 7 2" xfId="1082"/>
    <cellStyle name="Normal 11 8" xfId="732"/>
    <cellStyle name="Normal 11 8 2" xfId="1083"/>
    <cellStyle name="Normal 11 9" xfId="733"/>
    <cellStyle name="Normal 11 9 2" xfId="1084"/>
    <cellStyle name="Normal 12" xfId="33"/>
    <cellStyle name="Normal 12 10" xfId="734"/>
    <cellStyle name="Normal 12 10 2" xfId="1085"/>
    <cellStyle name="Normal 12 11" xfId="735"/>
    <cellStyle name="Normal 12 11 2" xfId="1086"/>
    <cellStyle name="Normal 12 12" xfId="736"/>
    <cellStyle name="Normal 12 12 2" xfId="1087"/>
    <cellStyle name="Normal 12 13" xfId="737"/>
    <cellStyle name="Normal 12 13 2" xfId="1088"/>
    <cellStyle name="Normal 12 14" xfId="738"/>
    <cellStyle name="Normal 12 14 2" xfId="1089"/>
    <cellStyle name="Normal 12 15" xfId="812"/>
    <cellStyle name="Normal 12 15 2" xfId="1163"/>
    <cellStyle name="Normal 12 16" xfId="813"/>
    <cellStyle name="Normal 12 16 2" xfId="1164"/>
    <cellStyle name="Normal 12 17" xfId="814"/>
    <cellStyle name="Normal 12 17 2" xfId="1165"/>
    <cellStyle name="Normal 12 18" xfId="815"/>
    <cellStyle name="Normal 12 18 2" xfId="1166"/>
    <cellStyle name="Normal 12 19" xfId="816"/>
    <cellStyle name="Normal 12 19 2" xfId="1167"/>
    <cellStyle name="Normal 12 2" xfId="34"/>
    <cellStyle name="Normal 12 20" xfId="817"/>
    <cellStyle name="Normal 12 20 2" xfId="1168"/>
    <cellStyle name="Normal 12 21" xfId="818"/>
    <cellStyle name="Normal 12 21 2" xfId="1169"/>
    <cellStyle name="Normal 12 22" xfId="819"/>
    <cellStyle name="Normal 12 22 2" xfId="1170"/>
    <cellStyle name="Normal 12 23" xfId="820"/>
    <cellStyle name="Normal 12 23 2" xfId="1171"/>
    <cellStyle name="Normal 12 24" xfId="821"/>
    <cellStyle name="Normal 12 24 2" xfId="1172"/>
    <cellStyle name="Normal 12 25" xfId="822"/>
    <cellStyle name="Normal 12 25 2" xfId="1173"/>
    <cellStyle name="Normal 12 26" xfId="1021"/>
    <cellStyle name="Normal 12 27" xfId="1281"/>
    <cellStyle name="Normal 12 3" xfId="35"/>
    <cellStyle name="Normal 12 4" xfId="36"/>
    <cellStyle name="Normal 12 4 2" xfId="709"/>
    <cellStyle name="Normal 12 4 3" xfId="991"/>
    <cellStyle name="Normal 12 4 4" xfId="1022"/>
    <cellStyle name="Normal 12 5" xfId="37"/>
    <cellStyle name="Normal 12 5 2" xfId="992"/>
    <cellStyle name="Normal 12 5 3" xfId="1023"/>
    <cellStyle name="Normal 12 6" xfId="38"/>
    <cellStyle name="Normal 12 6 2" xfId="1024"/>
    <cellStyle name="Normal 12 7" xfId="739"/>
    <cellStyle name="Normal 12 7 2" xfId="1090"/>
    <cellStyle name="Normal 12 8" xfId="740"/>
    <cellStyle name="Normal 12 8 2" xfId="1091"/>
    <cellStyle name="Normal 12 9" xfId="741"/>
    <cellStyle name="Normal 12 9 2" xfId="1092"/>
    <cellStyle name="Normal 13" xfId="39"/>
    <cellStyle name="Normal 13 10" xfId="742"/>
    <cellStyle name="Normal 13 10 2" xfId="1093"/>
    <cellStyle name="Normal 13 11" xfId="743"/>
    <cellStyle name="Normal 13 11 2" xfId="1094"/>
    <cellStyle name="Normal 13 12" xfId="744"/>
    <cellStyle name="Normal 13 12 2" xfId="1095"/>
    <cellStyle name="Normal 13 13" xfId="745"/>
    <cellStyle name="Normal 13 13 2" xfId="1096"/>
    <cellStyle name="Normal 13 14" xfId="746"/>
    <cellStyle name="Normal 13 14 2" xfId="1097"/>
    <cellStyle name="Normal 13 15" xfId="823"/>
    <cellStyle name="Normal 13 15 2" xfId="1174"/>
    <cellStyle name="Normal 13 16" xfId="824"/>
    <cellStyle name="Normal 13 16 2" xfId="1175"/>
    <cellStyle name="Normal 13 17" xfId="825"/>
    <cellStyle name="Normal 13 17 2" xfId="1176"/>
    <cellStyle name="Normal 13 18" xfId="826"/>
    <cellStyle name="Normal 13 18 2" xfId="1177"/>
    <cellStyle name="Normal 13 19" xfId="827"/>
    <cellStyle name="Normal 13 19 2" xfId="1178"/>
    <cellStyle name="Normal 13 2" xfId="40"/>
    <cellStyle name="Normal 13 20" xfId="828"/>
    <cellStyle name="Normal 13 20 2" xfId="1179"/>
    <cellStyle name="Normal 13 21" xfId="829"/>
    <cellStyle name="Normal 13 21 2" xfId="1180"/>
    <cellStyle name="Normal 13 22" xfId="830"/>
    <cellStyle name="Normal 13 22 2" xfId="1181"/>
    <cellStyle name="Normal 13 23" xfId="831"/>
    <cellStyle name="Normal 13 23 2" xfId="1182"/>
    <cellStyle name="Normal 13 24" xfId="832"/>
    <cellStyle name="Normal 13 24 2" xfId="1183"/>
    <cellStyle name="Normal 13 25" xfId="833"/>
    <cellStyle name="Normal 13 25 2" xfId="1184"/>
    <cellStyle name="Normal 13 26" xfId="1025"/>
    <cellStyle name="Normal 13 27" xfId="1282"/>
    <cellStyle name="Normal 13 3" xfId="41"/>
    <cellStyle name="Normal 13 4" xfId="42"/>
    <cellStyle name="Normal 13 4 2" xfId="710"/>
    <cellStyle name="Normal 13 4 3" xfId="993"/>
    <cellStyle name="Normal 13 4 4" xfId="1026"/>
    <cellStyle name="Normal 13 5" xfId="43"/>
    <cellStyle name="Normal 13 5 2" xfId="994"/>
    <cellStyle name="Normal 13 5 3" xfId="1027"/>
    <cellStyle name="Normal 13 6" xfId="44"/>
    <cellStyle name="Normal 13 6 2" xfId="1028"/>
    <cellStyle name="Normal 13 7" xfId="747"/>
    <cellStyle name="Normal 13 7 2" xfId="1098"/>
    <cellStyle name="Normal 13 8" xfId="748"/>
    <cellStyle name="Normal 13 8 2" xfId="1099"/>
    <cellStyle name="Normal 13 9" xfId="749"/>
    <cellStyle name="Normal 13 9 2" xfId="1100"/>
    <cellStyle name="Normal 14" xfId="45"/>
    <cellStyle name="Normal 14 10" xfId="750"/>
    <cellStyle name="Normal 14 10 2" xfId="1101"/>
    <cellStyle name="Normal 14 11" xfId="751"/>
    <cellStyle name="Normal 14 11 2" xfId="1102"/>
    <cellStyle name="Normal 14 12" xfId="752"/>
    <cellStyle name="Normal 14 12 2" xfId="1103"/>
    <cellStyle name="Normal 14 13" xfId="753"/>
    <cellStyle name="Normal 14 13 2" xfId="1104"/>
    <cellStyle name="Normal 14 14" xfId="754"/>
    <cellStyle name="Normal 14 14 2" xfId="1105"/>
    <cellStyle name="Normal 14 15" xfId="834"/>
    <cellStyle name="Normal 14 15 2" xfId="1185"/>
    <cellStyle name="Normal 14 16" xfId="835"/>
    <cellStyle name="Normal 14 16 2" xfId="1186"/>
    <cellStyle name="Normal 14 17" xfId="836"/>
    <cellStyle name="Normal 14 17 2" xfId="1187"/>
    <cellStyle name="Normal 14 18" xfId="837"/>
    <cellStyle name="Normal 14 18 2" xfId="1188"/>
    <cellStyle name="Normal 14 19" xfId="838"/>
    <cellStyle name="Normal 14 19 2" xfId="1189"/>
    <cellStyle name="Normal 14 2" xfId="46"/>
    <cellStyle name="Normal 14 20" xfId="839"/>
    <cellStyle name="Normal 14 20 2" xfId="1190"/>
    <cellStyle name="Normal 14 21" xfId="840"/>
    <cellStyle name="Normal 14 21 2" xfId="1191"/>
    <cellStyle name="Normal 14 22" xfId="846"/>
    <cellStyle name="Normal 14 22 2" xfId="1192"/>
    <cellStyle name="Normal 14 23" xfId="847"/>
    <cellStyle name="Normal 14 23 2" xfId="1193"/>
    <cellStyle name="Normal 14 24" xfId="854"/>
    <cellStyle name="Normal 14 24 2" xfId="1194"/>
    <cellStyle name="Normal 14 25" xfId="858"/>
    <cellStyle name="Normal 14 25 2" xfId="1195"/>
    <cellStyle name="Normal 14 26" xfId="1029"/>
    <cellStyle name="Normal 14 27" xfId="1283"/>
    <cellStyle name="Normal 14 3" xfId="47"/>
    <cellStyle name="Normal 14 4" xfId="48"/>
    <cellStyle name="Normal 14 4 2" xfId="711"/>
    <cellStyle name="Normal 14 4 3" xfId="995"/>
    <cellStyle name="Normal 14 4 4" xfId="1030"/>
    <cellStyle name="Normal 14 5" xfId="49"/>
    <cellStyle name="Normal 14 5 2" xfId="996"/>
    <cellStyle name="Normal 14 5 3" xfId="1031"/>
    <cellStyle name="Normal 14 6" xfId="50"/>
    <cellStyle name="Normal 14 6 2" xfId="1032"/>
    <cellStyle name="Normal 14 7" xfId="755"/>
    <cellStyle name="Normal 14 7 2" xfId="1106"/>
    <cellStyle name="Normal 14 8" xfId="756"/>
    <cellStyle name="Normal 14 8 2" xfId="1107"/>
    <cellStyle name="Normal 14 9" xfId="757"/>
    <cellStyle name="Normal 14 9 2" xfId="1108"/>
    <cellStyle name="Normal 15" xfId="51"/>
    <cellStyle name="Normal 15 10" xfId="758"/>
    <cellStyle name="Normal 15 10 2" xfId="1109"/>
    <cellStyle name="Normal 15 11" xfId="759"/>
    <cellStyle name="Normal 15 11 2" xfId="1110"/>
    <cellStyle name="Normal 15 12" xfId="760"/>
    <cellStyle name="Normal 15 12 2" xfId="1111"/>
    <cellStyle name="Normal 15 13" xfId="761"/>
    <cellStyle name="Normal 15 13 2" xfId="1112"/>
    <cellStyle name="Normal 15 14" xfId="762"/>
    <cellStyle name="Normal 15 14 2" xfId="1113"/>
    <cellStyle name="Normal 15 15" xfId="872"/>
    <cellStyle name="Normal 15 15 2" xfId="1196"/>
    <cellStyle name="Normal 15 16" xfId="873"/>
    <cellStyle name="Normal 15 16 2" xfId="1197"/>
    <cellStyle name="Normal 15 17" xfId="874"/>
    <cellStyle name="Normal 15 17 2" xfId="1198"/>
    <cellStyle name="Normal 15 18" xfId="875"/>
    <cellStyle name="Normal 15 18 2" xfId="1199"/>
    <cellStyle name="Normal 15 19" xfId="876"/>
    <cellStyle name="Normal 15 19 2" xfId="1200"/>
    <cellStyle name="Normal 15 2" xfId="52"/>
    <cellStyle name="Normal 15 20" xfId="877"/>
    <cellStyle name="Normal 15 20 2" xfId="1201"/>
    <cellStyle name="Normal 15 21" xfId="878"/>
    <cellStyle name="Normal 15 21 2" xfId="1202"/>
    <cellStyle name="Normal 15 22" xfId="879"/>
    <cellStyle name="Normal 15 22 2" xfId="1203"/>
    <cellStyle name="Normal 15 23" xfId="880"/>
    <cellStyle name="Normal 15 23 2" xfId="1204"/>
    <cellStyle name="Normal 15 24" xfId="881"/>
    <cellStyle name="Normal 15 24 2" xfId="1205"/>
    <cellStyle name="Normal 15 25" xfId="882"/>
    <cellStyle name="Normal 15 25 2" xfId="1206"/>
    <cellStyle name="Normal 15 26" xfId="1033"/>
    <cellStyle name="Normal 15 27" xfId="1284"/>
    <cellStyle name="Normal 15 3" xfId="53"/>
    <cellStyle name="Normal 15 4" xfId="54"/>
    <cellStyle name="Normal 15 4 2" xfId="712"/>
    <cellStyle name="Normal 15 4 3" xfId="997"/>
    <cellStyle name="Normal 15 4 4" xfId="1034"/>
    <cellStyle name="Normal 15 5" xfId="55"/>
    <cellStyle name="Normal 15 5 2" xfId="998"/>
    <cellStyle name="Normal 15 5 3" xfId="1035"/>
    <cellStyle name="Normal 15 6" xfId="56"/>
    <cellStyle name="Normal 15 6 2" xfId="1036"/>
    <cellStyle name="Normal 15 7" xfId="763"/>
    <cellStyle name="Normal 15 7 2" xfId="1114"/>
    <cellStyle name="Normal 15 8" xfId="764"/>
    <cellStyle name="Normal 15 8 2" xfId="1115"/>
    <cellStyle name="Normal 15 9" xfId="765"/>
    <cellStyle name="Normal 15 9 2" xfId="1116"/>
    <cellStyle name="Normal 16" xfId="57"/>
    <cellStyle name="Normal 16 10" xfId="766"/>
    <cellStyle name="Normal 16 10 2" xfId="1117"/>
    <cellStyle name="Normal 16 11" xfId="767"/>
    <cellStyle name="Normal 16 11 2" xfId="1118"/>
    <cellStyle name="Normal 16 12" xfId="768"/>
    <cellStyle name="Normal 16 12 2" xfId="1119"/>
    <cellStyle name="Normal 16 13" xfId="769"/>
    <cellStyle name="Normal 16 13 2" xfId="1120"/>
    <cellStyle name="Normal 16 14" xfId="770"/>
    <cellStyle name="Normal 16 14 2" xfId="1121"/>
    <cellStyle name="Normal 16 15" xfId="883"/>
    <cellStyle name="Normal 16 15 2" xfId="1207"/>
    <cellStyle name="Normal 16 16" xfId="884"/>
    <cellStyle name="Normal 16 16 2" xfId="1208"/>
    <cellStyle name="Normal 16 17" xfId="885"/>
    <cellStyle name="Normal 16 17 2" xfId="1209"/>
    <cellStyle name="Normal 16 18" xfId="886"/>
    <cellStyle name="Normal 16 18 2" xfId="1210"/>
    <cellStyle name="Normal 16 19" xfId="887"/>
    <cellStyle name="Normal 16 19 2" xfId="1211"/>
    <cellStyle name="Normal 16 2" xfId="58"/>
    <cellStyle name="Normal 16 20" xfId="888"/>
    <cellStyle name="Normal 16 20 2" xfId="1212"/>
    <cellStyle name="Normal 16 21" xfId="889"/>
    <cellStyle name="Normal 16 21 2" xfId="1213"/>
    <cellStyle name="Normal 16 22" xfId="890"/>
    <cellStyle name="Normal 16 22 2" xfId="1214"/>
    <cellStyle name="Normal 16 23" xfId="891"/>
    <cellStyle name="Normal 16 23 2" xfId="1215"/>
    <cellStyle name="Normal 16 24" xfId="892"/>
    <cellStyle name="Normal 16 24 2" xfId="1216"/>
    <cellStyle name="Normal 16 25" xfId="893"/>
    <cellStyle name="Normal 16 25 2" xfId="1217"/>
    <cellStyle name="Normal 16 26" xfId="1037"/>
    <cellStyle name="Normal 16 27" xfId="1285"/>
    <cellStyle name="Normal 16 3" xfId="59"/>
    <cellStyle name="Normal 16 4" xfId="60"/>
    <cellStyle name="Normal 16 4 2" xfId="713"/>
    <cellStyle name="Normal 16 4 3" xfId="999"/>
    <cellStyle name="Normal 16 4 4" xfId="1038"/>
    <cellStyle name="Normal 16 5" xfId="61"/>
    <cellStyle name="Normal 16 5 2" xfId="1000"/>
    <cellStyle name="Normal 16 5 3" xfId="1039"/>
    <cellStyle name="Normal 16 6" xfId="62"/>
    <cellStyle name="Normal 16 6 2" xfId="1040"/>
    <cellStyle name="Normal 16 7" xfId="771"/>
    <cellStyle name="Normal 16 7 2" xfId="1122"/>
    <cellStyle name="Normal 16 8" xfId="772"/>
    <cellStyle name="Normal 16 8 2" xfId="1123"/>
    <cellStyle name="Normal 16 9" xfId="773"/>
    <cellStyle name="Normal 16 9 2" xfId="1124"/>
    <cellStyle name="Normal 17" xfId="63"/>
    <cellStyle name="Normal 17 10" xfId="774"/>
    <cellStyle name="Normal 17 10 2" xfId="1125"/>
    <cellStyle name="Normal 17 11" xfId="775"/>
    <cellStyle name="Normal 17 11 2" xfId="1126"/>
    <cellStyle name="Normal 17 12" xfId="776"/>
    <cellStyle name="Normal 17 12 2" xfId="1127"/>
    <cellStyle name="Normal 17 13" xfId="777"/>
    <cellStyle name="Normal 17 13 2" xfId="1128"/>
    <cellStyle name="Normal 17 14" xfId="778"/>
    <cellStyle name="Normal 17 14 2" xfId="1129"/>
    <cellStyle name="Normal 17 15" xfId="910"/>
    <cellStyle name="Normal 17 15 2" xfId="1234"/>
    <cellStyle name="Normal 17 16" xfId="911"/>
    <cellStyle name="Normal 17 16 2" xfId="1235"/>
    <cellStyle name="Normal 17 17" xfId="912"/>
    <cellStyle name="Normal 17 17 2" xfId="1236"/>
    <cellStyle name="Normal 17 18" xfId="913"/>
    <cellStyle name="Normal 17 18 2" xfId="1237"/>
    <cellStyle name="Normal 17 19" xfId="914"/>
    <cellStyle name="Normal 17 19 2" xfId="1238"/>
    <cellStyle name="Normal 17 2" xfId="64"/>
    <cellStyle name="Normal 17 20" xfId="915"/>
    <cellStyle name="Normal 17 20 2" xfId="1239"/>
    <cellStyle name="Normal 17 21" xfId="916"/>
    <cellStyle name="Normal 17 21 2" xfId="1240"/>
    <cellStyle name="Normal 17 22" xfId="917"/>
    <cellStyle name="Normal 17 22 2" xfId="1241"/>
    <cellStyle name="Normal 17 23" xfId="918"/>
    <cellStyle name="Normal 17 23 2" xfId="1242"/>
    <cellStyle name="Normal 17 24" xfId="919"/>
    <cellStyle name="Normal 17 24 2" xfId="1243"/>
    <cellStyle name="Normal 17 25" xfId="920"/>
    <cellStyle name="Normal 17 25 2" xfId="1244"/>
    <cellStyle name="Normal 17 26" xfId="1041"/>
    <cellStyle name="Normal 17 27" xfId="1286"/>
    <cellStyle name="Normal 17 3" xfId="65"/>
    <cellStyle name="Normal 17 4" xfId="66"/>
    <cellStyle name="Normal 17 4 2" xfId="714"/>
    <cellStyle name="Normal 17 4 3" xfId="1001"/>
    <cellStyle name="Normal 17 4 4" xfId="1042"/>
    <cellStyle name="Normal 17 5" xfId="67"/>
    <cellStyle name="Normal 17 5 2" xfId="1002"/>
    <cellStyle name="Normal 17 5 3" xfId="1043"/>
    <cellStyle name="Normal 17 6" xfId="68"/>
    <cellStyle name="Normal 17 6 2" xfId="1044"/>
    <cellStyle name="Normal 17 7" xfId="779"/>
    <cellStyle name="Normal 17 7 2" xfId="1130"/>
    <cellStyle name="Normal 17 8" xfId="780"/>
    <cellStyle name="Normal 17 8 2" xfId="1131"/>
    <cellStyle name="Normal 17 9" xfId="781"/>
    <cellStyle name="Normal 17 9 2" xfId="1132"/>
    <cellStyle name="Normal 18" xfId="69"/>
    <cellStyle name="Normal 18 10" xfId="782"/>
    <cellStyle name="Normal 18 10 2" xfId="1133"/>
    <cellStyle name="Normal 18 11" xfId="783"/>
    <cellStyle name="Normal 18 11 2" xfId="1134"/>
    <cellStyle name="Normal 18 12" xfId="784"/>
    <cellStyle name="Normal 18 12 2" xfId="1135"/>
    <cellStyle name="Normal 18 13" xfId="785"/>
    <cellStyle name="Normal 18 13 2" xfId="1136"/>
    <cellStyle name="Normal 18 14" xfId="786"/>
    <cellStyle name="Normal 18 14 2" xfId="1137"/>
    <cellStyle name="Normal 18 15" xfId="921"/>
    <cellStyle name="Normal 18 15 2" xfId="1245"/>
    <cellStyle name="Normal 18 16" xfId="922"/>
    <cellStyle name="Normal 18 16 2" xfId="1246"/>
    <cellStyle name="Normal 18 17" xfId="923"/>
    <cellStyle name="Normal 18 17 2" xfId="1247"/>
    <cellStyle name="Normal 18 18" xfId="924"/>
    <cellStyle name="Normal 18 18 2" xfId="1248"/>
    <cellStyle name="Normal 18 19" xfId="925"/>
    <cellStyle name="Normal 18 19 2" xfId="1249"/>
    <cellStyle name="Normal 18 2" xfId="70"/>
    <cellStyle name="Normal 18 20" xfId="926"/>
    <cellStyle name="Normal 18 20 2" xfId="1250"/>
    <cellStyle name="Normal 18 21" xfId="927"/>
    <cellStyle name="Normal 18 21 2" xfId="1251"/>
    <cellStyle name="Normal 18 22" xfId="928"/>
    <cellStyle name="Normal 18 22 2" xfId="1252"/>
    <cellStyle name="Normal 18 23" xfId="929"/>
    <cellStyle name="Normal 18 23 2" xfId="1253"/>
    <cellStyle name="Normal 18 24" xfId="930"/>
    <cellStyle name="Normal 18 24 2" xfId="1254"/>
    <cellStyle name="Normal 18 25" xfId="931"/>
    <cellStyle name="Normal 18 25 2" xfId="1255"/>
    <cellStyle name="Normal 18 26" xfId="1045"/>
    <cellStyle name="Normal 18 27" xfId="1287"/>
    <cellStyle name="Normal 18 3" xfId="71"/>
    <cellStyle name="Normal 18 4" xfId="72"/>
    <cellStyle name="Normal 18 4 2" xfId="715"/>
    <cellStyle name="Normal 18 4 3" xfId="1003"/>
    <cellStyle name="Normal 18 4 4" xfId="1046"/>
    <cellStyle name="Normal 18 5" xfId="73"/>
    <cellStyle name="Normal 18 5 2" xfId="1004"/>
    <cellStyle name="Normal 18 5 3" xfId="1047"/>
    <cellStyle name="Normal 18 6" xfId="74"/>
    <cellStyle name="Normal 18 6 2" xfId="1048"/>
    <cellStyle name="Normal 18 7" xfId="791"/>
    <cellStyle name="Normal 18 7 2" xfId="1142"/>
    <cellStyle name="Normal 18 8" xfId="792"/>
    <cellStyle name="Normal 18 8 2" xfId="1143"/>
    <cellStyle name="Normal 18 9" xfId="793"/>
    <cellStyle name="Normal 18 9 2" xfId="1144"/>
    <cellStyle name="Normal 2" xfId="7"/>
    <cellStyle name="Normal 2 10" xfId="76"/>
    <cellStyle name="Normal 2 10 2" xfId="1288"/>
    <cellStyle name="Normal 2 11" xfId="77"/>
    <cellStyle name="Normal 2 11 2" xfId="1289"/>
    <cellStyle name="Normal 2 12" xfId="78"/>
    <cellStyle name="Normal 2 12 2" xfId="1290"/>
    <cellStyle name="Normal 2 13" xfId="79"/>
    <cellStyle name="Normal 2 13 2" xfId="1291"/>
    <cellStyle name="Normal 2 14" xfId="80"/>
    <cellStyle name="Normal 2 14 2" xfId="1292"/>
    <cellStyle name="Normal 2 15" xfId="81"/>
    <cellStyle name="Normal 2 15 2" xfId="1293"/>
    <cellStyle name="Normal 2 16" xfId="82"/>
    <cellStyle name="Normal 2 16 2" xfId="1294"/>
    <cellStyle name="Normal 2 17" xfId="83"/>
    <cellStyle name="Normal 2 17 2" xfId="1295"/>
    <cellStyle name="Normal 2 18" xfId="84"/>
    <cellStyle name="Normal 2 18 2" xfId="1296"/>
    <cellStyle name="Normal 2 19" xfId="85"/>
    <cellStyle name="Normal 2 19 2" xfId="1297"/>
    <cellStyle name="Normal 2 2" xfId="8"/>
    <cellStyle name="Normal 2 2 2" xfId="86"/>
    <cellStyle name="Normal 2 2 2 2" xfId="87"/>
    <cellStyle name="Normal 2 2 2 2 2" xfId="88"/>
    <cellStyle name="Normal 2 2 2 2 2 2" xfId="89"/>
    <cellStyle name="Normal 2 2 2 2 2 3" xfId="90"/>
    <cellStyle name="Normal 2 2 2 2 3" xfId="91"/>
    <cellStyle name="Normal 2 2 2 3" xfId="92"/>
    <cellStyle name="Normal 2 2 2 4" xfId="93"/>
    <cellStyle name="Normal 2 2 2 5" xfId="94"/>
    <cellStyle name="Normal 2 2 2 6" xfId="95"/>
    <cellStyle name="Normal 2 2 2 7" xfId="96"/>
    <cellStyle name="Normal 2 2 2 8" xfId="97"/>
    <cellStyle name="Normal 2 2 2 9" xfId="98"/>
    <cellStyle name="Normal 2 2 3" xfId="99"/>
    <cellStyle name="Normal 2 2 3 2" xfId="100"/>
    <cellStyle name="Normal 2 2 3 2 2" xfId="101"/>
    <cellStyle name="Normal 2 2 3 2 3" xfId="102"/>
    <cellStyle name="Normal 2 2 3 3" xfId="103"/>
    <cellStyle name="Normal 2 2 4" xfId="104"/>
    <cellStyle name="Normal 2 2 5" xfId="105"/>
    <cellStyle name="Normal 2 2 6" xfId="106"/>
    <cellStyle name="Normal 2 2 7" xfId="107"/>
    <cellStyle name="Normal 2 2 8" xfId="108"/>
    <cellStyle name="Normal 2 2 9" xfId="109"/>
    <cellStyle name="Normal 2 20" xfId="110"/>
    <cellStyle name="Normal 2 20 2" xfId="1298"/>
    <cellStyle name="Normal 2 21" xfId="111"/>
    <cellStyle name="Normal 2 21 2" xfId="1299"/>
    <cellStyle name="Normal 2 22" xfId="112"/>
    <cellStyle name="Normal 2 22 2" xfId="1300"/>
    <cellStyle name="Normal 2 23" xfId="113"/>
    <cellStyle name="Normal 2 23 2" xfId="1301"/>
    <cellStyle name="Normal 2 24" xfId="114"/>
    <cellStyle name="Normal 2 24 2" xfId="1302"/>
    <cellStyle name="Normal 2 25" xfId="115"/>
    <cellStyle name="Normal 2 25 10" xfId="242"/>
    <cellStyle name="Normal 2 25 11" xfId="243"/>
    <cellStyle name="Normal 2 25 12" xfId="244"/>
    <cellStyle name="Normal 2 25 13" xfId="245"/>
    <cellStyle name="Normal 2 25 14" xfId="246"/>
    <cellStyle name="Normal 2 25 15" xfId="247"/>
    <cellStyle name="Normal 2 25 16" xfId="248"/>
    <cellStyle name="Normal 2 25 17" xfId="249"/>
    <cellStyle name="Normal 2 25 18" xfId="250"/>
    <cellStyle name="Normal 2 25 19" xfId="251"/>
    <cellStyle name="Normal 2 25 2" xfId="116"/>
    <cellStyle name="Normal 2 25 20" xfId="252"/>
    <cellStyle name="Normal 2 25 21" xfId="253"/>
    <cellStyle name="Normal 2 25 22" xfId="254"/>
    <cellStyle name="Normal 2 25 23" xfId="255"/>
    <cellStyle name="Normal 2 25 24" xfId="256"/>
    <cellStyle name="Normal 2 25 25" xfId="257"/>
    <cellStyle name="Normal 2 25 26" xfId="258"/>
    <cellStyle name="Normal 2 25 27" xfId="259"/>
    <cellStyle name="Normal 2 25 28" xfId="260"/>
    <cellStyle name="Normal 2 25 29" xfId="261"/>
    <cellStyle name="Normal 2 25 3" xfId="117"/>
    <cellStyle name="Normal 2 25 30" xfId="262"/>
    <cellStyle name="Normal 2 25 31" xfId="263"/>
    <cellStyle name="Normal 2 25 32" xfId="264"/>
    <cellStyle name="Normal 2 25 33" xfId="265"/>
    <cellStyle name="Normal 2 25 34" xfId="266"/>
    <cellStyle name="Normal 2 25 35" xfId="1049"/>
    <cellStyle name="Normal 2 25 36" xfId="1303"/>
    <cellStyle name="Normal 2 25 4" xfId="267"/>
    <cellStyle name="Normal 2 25 5" xfId="268"/>
    <cellStyle name="Normal 2 25 6" xfId="269"/>
    <cellStyle name="Normal 2 25 7" xfId="270"/>
    <cellStyle name="Normal 2 25 8" xfId="271"/>
    <cellStyle name="Normal 2 25 9" xfId="272"/>
    <cellStyle name="Normal 2 26" xfId="118"/>
    <cellStyle name="Normal 2 26 10" xfId="273"/>
    <cellStyle name="Normal 2 26 11" xfId="274"/>
    <cellStyle name="Normal 2 26 12" xfId="275"/>
    <cellStyle name="Normal 2 26 13" xfId="276"/>
    <cellStyle name="Normal 2 26 14" xfId="277"/>
    <cellStyle name="Normal 2 26 15" xfId="278"/>
    <cellStyle name="Normal 2 26 16" xfId="279"/>
    <cellStyle name="Normal 2 26 17" xfId="280"/>
    <cellStyle name="Normal 2 26 18" xfId="281"/>
    <cellStyle name="Normal 2 26 19" xfId="282"/>
    <cellStyle name="Normal 2 26 2" xfId="119"/>
    <cellStyle name="Normal 2 26 20" xfId="283"/>
    <cellStyle name="Normal 2 26 21" xfId="284"/>
    <cellStyle name="Normal 2 26 22" xfId="285"/>
    <cellStyle name="Normal 2 26 23" xfId="286"/>
    <cellStyle name="Normal 2 26 24" xfId="287"/>
    <cellStyle name="Normal 2 26 25" xfId="288"/>
    <cellStyle name="Normal 2 26 26" xfId="289"/>
    <cellStyle name="Normal 2 26 27" xfId="290"/>
    <cellStyle name="Normal 2 26 28" xfId="291"/>
    <cellStyle name="Normal 2 26 29" xfId="292"/>
    <cellStyle name="Normal 2 26 3" xfId="120"/>
    <cellStyle name="Normal 2 26 30" xfId="293"/>
    <cellStyle name="Normal 2 26 31" xfId="294"/>
    <cellStyle name="Normal 2 26 32" xfId="295"/>
    <cellStyle name="Normal 2 26 33" xfId="296"/>
    <cellStyle name="Normal 2 26 34" xfId="297"/>
    <cellStyle name="Normal 2 26 35" xfId="1050"/>
    <cellStyle name="Normal 2 26 36" xfId="1304"/>
    <cellStyle name="Normal 2 26 4" xfId="298"/>
    <cellStyle name="Normal 2 26 5" xfId="299"/>
    <cellStyle name="Normal 2 26 6" xfId="300"/>
    <cellStyle name="Normal 2 26 7" xfId="301"/>
    <cellStyle name="Normal 2 26 8" xfId="302"/>
    <cellStyle name="Normal 2 26 9" xfId="303"/>
    <cellStyle name="Normal 2 27" xfId="121"/>
    <cellStyle name="Normal 2 27 10" xfId="1305"/>
    <cellStyle name="Normal 2 27 2" xfId="122"/>
    <cellStyle name="Normal 2 27 3" xfId="123"/>
    <cellStyle name="Normal 2 27 4" xfId="304"/>
    <cellStyle name="Normal 2 27 5" xfId="305"/>
    <cellStyle name="Normal 2 27 6" xfId="306"/>
    <cellStyle name="Normal 2 27 7" xfId="307"/>
    <cellStyle name="Normal 2 27 8" xfId="308"/>
    <cellStyle name="Normal 2 27 9" xfId="1051"/>
    <cellStyle name="Normal 2 28" xfId="124"/>
    <cellStyle name="Normal 2 28 10" xfId="1306"/>
    <cellStyle name="Normal 2 28 2" xfId="125"/>
    <cellStyle name="Normal 2 28 3" xfId="126"/>
    <cellStyle name="Normal 2 28 4" xfId="309"/>
    <cellStyle name="Normal 2 28 5" xfId="310"/>
    <cellStyle name="Normal 2 28 6" xfId="311"/>
    <cellStyle name="Normal 2 28 7" xfId="312"/>
    <cellStyle name="Normal 2 28 8" xfId="313"/>
    <cellStyle name="Normal 2 28 9" xfId="1052"/>
    <cellStyle name="Normal 2 29" xfId="127"/>
    <cellStyle name="Normal 2 29 2" xfId="128"/>
    <cellStyle name="Normal 2 29 3" xfId="129"/>
    <cellStyle name="Normal 2 29 4" xfId="1053"/>
    <cellStyle name="Normal 2 29 5" xfId="1307"/>
    <cellStyle name="Normal 2 3" xfId="9"/>
    <cellStyle name="Normal 2 3 2" xfId="130"/>
    <cellStyle name="Normal 2 3 3" xfId="1308"/>
    <cellStyle name="Normal 2 30" xfId="131"/>
    <cellStyle name="Normal 2 30 2" xfId="132"/>
    <cellStyle name="Normal 2 30 3" xfId="133"/>
    <cellStyle name="Normal 2 30 4" xfId="1054"/>
    <cellStyle name="Normal 2 30 5" xfId="1309"/>
    <cellStyle name="Normal 2 31" xfId="134"/>
    <cellStyle name="Normal 2 31 2" xfId="135"/>
    <cellStyle name="Normal 2 31 3" xfId="136"/>
    <cellStyle name="Normal 2 31 4" xfId="1055"/>
    <cellStyle name="Normal 2 31 5" xfId="1310"/>
    <cellStyle name="Normal 2 32" xfId="137"/>
    <cellStyle name="Normal 2 32 2" xfId="138"/>
    <cellStyle name="Normal 2 32 3" xfId="139"/>
    <cellStyle name="Normal 2 32 4" xfId="1056"/>
    <cellStyle name="Normal 2 32 5" xfId="1311"/>
    <cellStyle name="Normal 2 33" xfId="140"/>
    <cellStyle name="Normal 2 33 2" xfId="141"/>
    <cellStyle name="Normal 2 33 3" xfId="142"/>
    <cellStyle name="Normal 2 33 4" xfId="1057"/>
    <cellStyle name="Normal 2 33 5" xfId="1312"/>
    <cellStyle name="Normal 2 34" xfId="143"/>
    <cellStyle name="Normal 2 34 2" xfId="144"/>
    <cellStyle name="Normal 2 34 3" xfId="145"/>
    <cellStyle name="Normal 2 34 4" xfId="1058"/>
    <cellStyle name="Normal 2 34 5" xfId="1313"/>
    <cellStyle name="Normal 2 35" xfId="146"/>
    <cellStyle name="Normal 2 35 2" xfId="147"/>
    <cellStyle name="Normal 2 35 3" xfId="148"/>
    <cellStyle name="Normal 2 35 4" xfId="1059"/>
    <cellStyle name="Normal 2 35 5" xfId="1314"/>
    <cellStyle name="Normal 2 36" xfId="149"/>
    <cellStyle name="Normal 2 36 2" xfId="150"/>
    <cellStyle name="Normal 2 36 3" xfId="151"/>
    <cellStyle name="Normal 2 36 4" xfId="1060"/>
    <cellStyle name="Normal 2 36 5" xfId="1315"/>
    <cellStyle name="Normal 2 37" xfId="152"/>
    <cellStyle name="Normal 2 37 2" xfId="1316"/>
    <cellStyle name="Normal 2 38" xfId="153"/>
    <cellStyle name="Normal 2 38 2" xfId="1317"/>
    <cellStyle name="Normal 2 39" xfId="154"/>
    <cellStyle name="Normal 2 39 2" xfId="1318"/>
    <cellStyle name="Normal 2 4" xfId="12"/>
    <cellStyle name="Normal 2 4 2" xfId="1319"/>
    <cellStyle name="Normal 2 40" xfId="155"/>
    <cellStyle name="Normal 2 40 2" xfId="1320"/>
    <cellStyle name="Normal 2 41" xfId="156"/>
    <cellStyle name="Normal 2 41 2" xfId="1321"/>
    <cellStyle name="Normal 2 42" xfId="157"/>
    <cellStyle name="Normal 2 42 2" xfId="1322"/>
    <cellStyle name="Normal 2 43" xfId="158"/>
    <cellStyle name="Normal 2 43 2" xfId="1323"/>
    <cellStyle name="Normal 2 44" xfId="159"/>
    <cellStyle name="Normal 2 44 2" xfId="1324"/>
    <cellStyle name="Normal 2 45" xfId="314"/>
    <cellStyle name="Normal 2 46" xfId="315"/>
    <cellStyle name="Normal 2 47" xfId="316"/>
    <cellStyle name="Normal 2 48" xfId="317"/>
    <cellStyle name="Normal 2 49" xfId="318"/>
    <cellStyle name="Normal 2 5" xfId="160"/>
    <cellStyle name="Normal 2 5 2" xfId="1325"/>
    <cellStyle name="Normal 2 50" xfId="319"/>
    <cellStyle name="Normal 2 51" xfId="320"/>
    <cellStyle name="Normal 2 52" xfId="321"/>
    <cellStyle name="Normal 2 53" xfId="322"/>
    <cellStyle name="Normal 2 54" xfId="323"/>
    <cellStyle name="Normal 2 55" xfId="324"/>
    <cellStyle name="Normal 2 56" xfId="325"/>
    <cellStyle name="Normal 2 57" xfId="326"/>
    <cellStyle name="Normal 2 58" xfId="327"/>
    <cellStyle name="Normal 2 59" xfId="328"/>
    <cellStyle name="Normal 2 6" xfId="161"/>
    <cellStyle name="Normal 2 6 2" xfId="1326"/>
    <cellStyle name="Normal 2 60" xfId="329"/>
    <cellStyle name="Normal 2 61" xfId="330"/>
    <cellStyle name="Normal 2 62" xfId="331"/>
    <cellStyle name="Normal 2 63" xfId="332"/>
    <cellStyle name="Normal 2 64" xfId="333"/>
    <cellStyle name="Normal 2 65" xfId="334"/>
    <cellStyle name="Normal 2 66" xfId="335"/>
    <cellStyle name="Normal 2 67" xfId="336"/>
    <cellStyle name="Normal 2 68" xfId="337"/>
    <cellStyle name="Normal 2 69" xfId="338"/>
    <cellStyle name="Normal 2 7" xfId="162"/>
    <cellStyle name="Normal 2 7 2" xfId="1327"/>
    <cellStyle name="Normal 2 70" xfId="339"/>
    <cellStyle name="Normal 2 71" xfId="340"/>
    <cellStyle name="Normal 2 72" xfId="341"/>
    <cellStyle name="Normal 2 73" xfId="342"/>
    <cellStyle name="Normal 2 74" xfId="343"/>
    <cellStyle name="Normal 2 75" xfId="344"/>
    <cellStyle name="Normal 2 8" xfId="163"/>
    <cellStyle name="Normal 2 8 2" xfId="1328"/>
    <cellStyle name="Normal 2 9" xfId="164"/>
    <cellStyle name="Normal 2 9 2" xfId="1329"/>
    <cellStyle name="Normal 21" xfId="165"/>
    <cellStyle name="Normal 21 10" xfId="841"/>
    <cellStyle name="Normal 21 11" xfId="842"/>
    <cellStyle name="Normal 21 12" xfId="843"/>
    <cellStyle name="Normal 21 13" xfId="844"/>
    <cellStyle name="Normal 21 14" xfId="845"/>
    <cellStyle name="Normal 21 15" xfId="932"/>
    <cellStyle name="Normal 21 16" xfId="933"/>
    <cellStyle name="Normal 21 17" xfId="934"/>
    <cellStyle name="Normal 21 18" xfId="935"/>
    <cellStyle name="Normal 21 19" xfId="936"/>
    <cellStyle name="Normal 21 2" xfId="166"/>
    <cellStyle name="Normal 21 20" xfId="937"/>
    <cellStyle name="Normal 21 21" xfId="938"/>
    <cellStyle name="Normal 21 22" xfId="939"/>
    <cellStyle name="Normal 21 23" xfId="940"/>
    <cellStyle name="Normal 21 24" xfId="941"/>
    <cellStyle name="Normal 21 25" xfId="942"/>
    <cellStyle name="Normal 21 3" xfId="167"/>
    <cellStyle name="Normal 21 4" xfId="848"/>
    <cellStyle name="Normal 21 5" xfId="849"/>
    <cellStyle name="Normal 21 6" xfId="850"/>
    <cellStyle name="Normal 21 7" xfId="851"/>
    <cellStyle name="Normal 21 8" xfId="852"/>
    <cellStyle name="Normal 21 9" xfId="853"/>
    <cellStyle name="Normal 26" xfId="168"/>
    <cellStyle name="Normal 26 10" xfId="855"/>
    <cellStyle name="Normal 26 11" xfId="856"/>
    <cellStyle name="Normal 26 12" xfId="857"/>
    <cellStyle name="Normal 26 13" xfId="943"/>
    <cellStyle name="Normal 26 14" xfId="944"/>
    <cellStyle name="Normal 26 15" xfId="945"/>
    <cellStyle name="Normal 26 16" xfId="946"/>
    <cellStyle name="Normal 26 17" xfId="947"/>
    <cellStyle name="Normal 26 18" xfId="948"/>
    <cellStyle name="Normal 26 19" xfId="949"/>
    <cellStyle name="Normal 26 2" xfId="169"/>
    <cellStyle name="Normal 26 20" xfId="950"/>
    <cellStyle name="Normal 26 21" xfId="951"/>
    <cellStyle name="Normal 26 22" xfId="952"/>
    <cellStyle name="Normal 26 23" xfId="953"/>
    <cellStyle name="Normal 26 3" xfId="170"/>
    <cellStyle name="Normal 26 4" xfId="171"/>
    <cellStyle name="Normal 26 5" xfId="859"/>
    <cellStyle name="Normal 26 6" xfId="860"/>
    <cellStyle name="Normal 26 7" xfId="861"/>
    <cellStyle name="Normal 26 8" xfId="862"/>
    <cellStyle name="Normal 26 9" xfId="863"/>
    <cellStyle name="Normal 27" xfId="172"/>
    <cellStyle name="Normal 27 10" xfId="864"/>
    <cellStyle name="Normal 27 11" xfId="865"/>
    <cellStyle name="Normal 27 12" xfId="866"/>
    <cellStyle name="Normal 27 13" xfId="954"/>
    <cellStyle name="Normal 27 14" xfId="955"/>
    <cellStyle name="Normal 27 15" xfId="956"/>
    <cellStyle name="Normal 27 16" xfId="957"/>
    <cellStyle name="Normal 27 17" xfId="958"/>
    <cellStyle name="Normal 27 18" xfId="959"/>
    <cellStyle name="Normal 27 19" xfId="960"/>
    <cellStyle name="Normal 27 2" xfId="173"/>
    <cellStyle name="Normal 27 20" xfId="961"/>
    <cellStyle name="Normal 27 21" xfId="962"/>
    <cellStyle name="Normal 27 22" xfId="963"/>
    <cellStyle name="Normal 27 23" xfId="964"/>
    <cellStyle name="Normal 27 3" xfId="174"/>
    <cellStyle name="Normal 27 4" xfId="175"/>
    <cellStyle name="Normal 27 5" xfId="867"/>
    <cellStyle name="Normal 27 6" xfId="868"/>
    <cellStyle name="Normal 27 7" xfId="869"/>
    <cellStyle name="Normal 27 8" xfId="870"/>
    <cellStyle name="Normal 27 9" xfId="871"/>
    <cellStyle name="Normal 3" xfId="10"/>
    <cellStyle name="Normal 4" xfId="3"/>
    <cellStyle name="Normal 4 2" xfId="176"/>
    <cellStyle name="Normal 4 2 2" xfId="1330"/>
    <cellStyle name="Normal 4 3" xfId="177"/>
    <cellStyle name="Normal 4 3 2" xfId="1331"/>
    <cellStyle name="Normal 5" xfId="178"/>
    <cellStyle name="Normal 5 10" xfId="345"/>
    <cellStyle name="Normal 5 11" xfId="346"/>
    <cellStyle name="Normal 5 12" xfId="347"/>
    <cellStyle name="Normal 5 13" xfId="348"/>
    <cellStyle name="Normal 5 14" xfId="349"/>
    <cellStyle name="Normal 5 15" xfId="350"/>
    <cellStyle name="Normal 5 16" xfId="351"/>
    <cellStyle name="Normal 5 17" xfId="352"/>
    <cellStyle name="Normal 5 18" xfId="353"/>
    <cellStyle name="Normal 5 19" xfId="354"/>
    <cellStyle name="Normal 5 2" xfId="179"/>
    <cellStyle name="Normal 5 20" xfId="355"/>
    <cellStyle name="Normal 5 21" xfId="356"/>
    <cellStyle name="Normal 5 22" xfId="357"/>
    <cellStyle name="Normal 5 23" xfId="358"/>
    <cellStyle name="Normal 5 24" xfId="359"/>
    <cellStyle name="Normal 5 25" xfId="360"/>
    <cellStyle name="Normal 5 26" xfId="361"/>
    <cellStyle name="Normal 5 27" xfId="362"/>
    <cellStyle name="Normal 5 28" xfId="363"/>
    <cellStyle name="Normal 5 29" xfId="364"/>
    <cellStyle name="Normal 5 3" xfId="180"/>
    <cellStyle name="Normal 5 30" xfId="365"/>
    <cellStyle name="Normal 5 31" xfId="366"/>
    <cellStyle name="Normal 5 32" xfId="367"/>
    <cellStyle name="Normal 5 33" xfId="368"/>
    <cellStyle name="Normal 5 34" xfId="369"/>
    <cellStyle name="Normal 5 35" xfId="370"/>
    <cellStyle name="Normal 5 36" xfId="371"/>
    <cellStyle name="Normal 5 37" xfId="372"/>
    <cellStyle name="Normal 5 38" xfId="373"/>
    <cellStyle name="Normal 5 39" xfId="374"/>
    <cellStyle name="Normal 5 4" xfId="181"/>
    <cellStyle name="Normal 5 40" xfId="375"/>
    <cellStyle name="Normal 5 5" xfId="182"/>
    <cellStyle name="Normal 5 6" xfId="183"/>
    <cellStyle name="Normal 5 7" xfId="184"/>
    <cellStyle name="Normal 5 8" xfId="185"/>
    <cellStyle name="Normal 5 9" xfId="186"/>
    <cellStyle name="Normal 6" xfId="187"/>
    <cellStyle name="Normal 6 10" xfId="376"/>
    <cellStyle name="Normal 6 11" xfId="377"/>
    <cellStyle name="Normal 6 12" xfId="378"/>
    <cellStyle name="Normal 6 13" xfId="379"/>
    <cellStyle name="Normal 6 14" xfId="380"/>
    <cellStyle name="Normal 6 15" xfId="381"/>
    <cellStyle name="Normal 6 16" xfId="382"/>
    <cellStyle name="Normal 6 17" xfId="383"/>
    <cellStyle name="Normal 6 18" xfId="384"/>
    <cellStyle name="Normal 6 19" xfId="385"/>
    <cellStyle name="Normal 6 2" xfId="188"/>
    <cellStyle name="Normal 6 20" xfId="386"/>
    <cellStyle name="Normal 6 21" xfId="387"/>
    <cellStyle name="Normal 6 22" xfId="388"/>
    <cellStyle name="Normal 6 23" xfId="389"/>
    <cellStyle name="Normal 6 24" xfId="390"/>
    <cellStyle name="Normal 6 25" xfId="391"/>
    <cellStyle name="Normal 6 26" xfId="392"/>
    <cellStyle name="Normal 6 27" xfId="393"/>
    <cellStyle name="Normal 6 28" xfId="394"/>
    <cellStyle name="Normal 6 29" xfId="395"/>
    <cellStyle name="Normal 6 3" xfId="189"/>
    <cellStyle name="Normal 6 30" xfId="396"/>
    <cellStyle name="Normal 6 31" xfId="397"/>
    <cellStyle name="Normal 6 32" xfId="398"/>
    <cellStyle name="Normal 6 33" xfId="399"/>
    <cellStyle name="Normal 6 34" xfId="400"/>
    <cellStyle name="Normal 6 35" xfId="401"/>
    <cellStyle name="Normal 6 36" xfId="402"/>
    <cellStyle name="Normal 6 37" xfId="403"/>
    <cellStyle name="Normal 6 38" xfId="404"/>
    <cellStyle name="Normal 6 39" xfId="405"/>
    <cellStyle name="Normal 6 4" xfId="190"/>
    <cellStyle name="Normal 6 40" xfId="406"/>
    <cellStyle name="Normal 6 5" xfId="191"/>
    <cellStyle name="Normal 6 6" xfId="192"/>
    <cellStyle name="Normal 6 7" xfId="193"/>
    <cellStyle name="Normal 6 8" xfId="194"/>
    <cellStyle name="Normal 6 9" xfId="195"/>
    <cellStyle name="Normal 7" xfId="1278"/>
    <cellStyle name="Normal 8" xfId="196"/>
    <cellStyle name="Normal 8 10" xfId="894"/>
    <cellStyle name="Normal 8 10 2" xfId="1218"/>
    <cellStyle name="Normal 8 11" xfId="895"/>
    <cellStyle name="Normal 8 11 2" xfId="1219"/>
    <cellStyle name="Normal 8 12" xfId="896"/>
    <cellStyle name="Normal 8 12 2" xfId="1220"/>
    <cellStyle name="Normal 8 13" xfId="897"/>
    <cellStyle name="Normal 8 13 2" xfId="1221"/>
    <cellStyle name="Normal 8 14" xfId="898"/>
    <cellStyle name="Normal 8 14 2" xfId="1222"/>
    <cellStyle name="Normal 8 15" xfId="965"/>
    <cellStyle name="Normal 8 15 2" xfId="1256"/>
    <cellStyle name="Normal 8 16" xfId="966"/>
    <cellStyle name="Normal 8 16 2" xfId="1257"/>
    <cellStyle name="Normal 8 17" xfId="967"/>
    <cellStyle name="Normal 8 17 2" xfId="1258"/>
    <cellStyle name="Normal 8 18" xfId="968"/>
    <cellStyle name="Normal 8 18 2" xfId="1259"/>
    <cellStyle name="Normal 8 19" xfId="969"/>
    <cellStyle name="Normal 8 19 2" xfId="1260"/>
    <cellStyle name="Normal 8 2" xfId="197"/>
    <cellStyle name="Normal 8 20" xfId="970"/>
    <cellStyle name="Normal 8 20 2" xfId="1261"/>
    <cellStyle name="Normal 8 21" xfId="971"/>
    <cellStyle name="Normal 8 21 2" xfId="1262"/>
    <cellStyle name="Normal 8 22" xfId="972"/>
    <cellStyle name="Normal 8 22 2" xfId="1263"/>
    <cellStyle name="Normal 8 23" xfId="973"/>
    <cellStyle name="Normal 8 23 2" xfId="1264"/>
    <cellStyle name="Normal 8 24" xfId="974"/>
    <cellStyle name="Normal 8 24 2" xfId="1265"/>
    <cellStyle name="Normal 8 25" xfId="975"/>
    <cellStyle name="Normal 8 25 2" xfId="1266"/>
    <cellStyle name="Normal 8 26" xfId="1061"/>
    <cellStyle name="Normal 8 27" xfId="1332"/>
    <cellStyle name="Normal 8 3" xfId="198"/>
    <cellStyle name="Normal 8 4" xfId="199"/>
    <cellStyle name="Normal 8 4 2" xfId="716"/>
    <cellStyle name="Normal 8 4 3" xfId="1005"/>
    <cellStyle name="Normal 8 4 4" xfId="1062"/>
    <cellStyle name="Normal 8 5" xfId="200"/>
    <cellStyle name="Normal 8 5 2" xfId="1006"/>
    <cellStyle name="Normal 8 5 3" xfId="1063"/>
    <cellStyle name="Normal 8 6" xfId="201"/>
    <cellStyle name="Normal 8 6 2" xfId="1064"/>
    <cellStyle name="Normal 8 7" xfId="899"/>
    <cellStyle name="Normal 8 7 2" xfId="1223"/>
    <cellStyle name="Normal 8 8" xfId="900"/>
    <cellStyle name="Normal 8 8 2" xfId="1224"/>
    <cellStyle name="Normal 8 9" xfId="901"/>
    <cellStyle name="Normal 8 9 2" xfId="1225"/>
    <cellStyle name="Normal 9" xfId="202"/>
    <cellStyle name="Normal 9 10" xfId="902"/>
    <cellStyle name="Normal 9 10 2" xfId="1226"/>
    <cellStyle name="Normal 9 11" xfId="903"/>
    <cellStyle name="Normal 9 11 2" xfId="1227"/>
    <cellStyle name="Normal 9 12" xfId="904"/>
    <cellStyle name="Normal 9 12 2" xfId="1228"/>
    <cellStyle name="Normal 9 13" xfId="905"/>
    <cellStyle name="Normal 9 13 2" xfId="1229"/>
    <cellStyle name="Normal 9 14" xfId="906"/>
    <cellStyle name="Normal 9 14 2" xfId="1230"/>
    <cellStyle name="Normal 9 15" xfId="976"/>
    <cellStyle name="Normal 9 15 2" xfId="1267"/>
    <cellStyle name="Normal 9 16" xfId="977"/>
    <cellStyle name="Normal 9 16 2" xfId="1268"/>
    <cellStyle name="Normal 9 17" xfId="978"/>
    <cellStyle name="Normal 9 17 2" xfId="1269"/>
    <cellStyle name="Normal 9 18" xfId="979"/>
    <cellStyle name="Normal 9 18 2" xfId="1270"/>
    <cellStyle name="Normal 9 19" xfId="980"/>
    <cellStyle name="Normal 9 19 2" xfId="1271"/>
    <cellStyle name="Normal 9 2" xfId="203"/>
    <cellStyle name="Normal 9 20" xfId="981"/>
    <cellStyle name="Normal 9 20 2" xfId="1272"/>
    <cellStyle name="Normal 9 21" xfId="982"/>
    <cellStyle name="Normal 9 21 2" xfId="1273"/>
    <cellStyle name="Normal 9 22" xfId="983"/>
    <cellStyle name="Normal 9 22 2" xfId="1274"/>
    <cellStyle name="Normal 9 23" xfId="984"/>
    <cellStyle name="Normal 9 23 2" xfId="1275"/>
    <cellStyle name="Normal 9 24" xfId="985"/>
    <cellStyle name="Normal 9 24 2" xfId="1276"/>
    <cellStyle name="Normal 9 25" xfId="986"/>
    <cellStyle name="Normal 9 25 2" xfId="1277"/>
    <cellStyle name="Normal 9 26" xfId="1065"/>
    <cellStyle name="Normal 9 27" xfId="1333"/>
    <cellStyle name="Normal 9 3" xfId="204"/>
    <cellStyle name="Normal 9 4" xfId="205"/>
    <cellStyle name="Normal 9 4 2" xfId="717"/>
    <cellStyle name="Normal 9 4 3" xfId="1007"/>
    <cellStyle name="Normal 9 4 4" xfId="1066"/>
    <cellStyle name="Normal 9 5" xfId="206"/>
    <cellStyle name="Normal 9 5 2" xfId="1008"/>
    <cellStyle name="Normal 9 5 3" xfId="1067"/>
    <cellStyle name="Normal 9 6" xfId="207"/>
    <cellStyle name="Normal 9 6 2" xfId="1068"/>
    <cellStyle name="Normal 9 7" xfId="907"/>
    <cellStyle name="Normal 9 7 2" xfId="1231"/>
    <cellStyle name="Normal 9 8" xfId="908"/>
    <cellStyle name="Normal 9 8 2" xfId="1232"/>
    <cellStyle name="Normal 9 9" xfId="909"/>
    <cellStyle name="Normal 9 9 2" xfId="1233"/>
    <cellStyle name="Normal_TO-2_1" xfId="2"/>
    <cellStyle name="Percent 2" xfId="11"/>
    <cellStyle name="Percent 2 10" xfId="407"/>
    <cellStyle name="Percent 2 11" xfId="408"/>
    <cellStyle name="Percent 2 12" xfId="409"/>
    <cellStyle name="Percent 2 13" xfId="410"/>
    <cellStyle name="Percent 2 14" xfId="411"/>
    <cellStyle name="Percent 2 15" xfId="412"/>
    <cellStyle name="Percent 2 16" xfId="413"/>
    <cellStyle name="Percent 2 17" xfId="414"/>
    <cellStyle name="Percent 2 18" xfId="415"/>
    <cellStyle name="Percent 2 19" xfId="416"/>
    <cellStyle name="Percent 2 2" xfId="209"/>
    <cellStyle name="Percent 2 2 2" xfId="210"/>
    <cellStyle name="Percent 2 2 2 2" xfId="1009"/>
    <cellStyle name="Percent 2 2 3" xfId="1010"/>
    <cellStyle name="Percent 2 20" xfId="417"/>
    <cellStyle name="Percent 2 21" xfId="418"/>
    <cellStyle name="Percent 2 22" xfId="419"/>
    <cellStyle name="Percent 2 23" xfId="420"/>
    <cellStyle name="Percent 2 24" xfId="421"/>
    <cellStyle name="Percent 2 25" xfId="422"/>
    <cellStyle name="Percent 2 26" xfId="423"/>
    <cellStyle name="Percent 2 27" xfId="424"/>
    <cellStyle name="Percent 2 28" xfId="425"/>
    <cellStyle name="Percent 2 29" xfId="426"/>
    <cellStyle name="Percent 2 3" xfId="211"/>
    <cellStyle name="Percent 2 3 2" xfId="1011"/>
    <cellStyle name="Percent 2 30" xfId="427"/>
    <cellStyle name="Percent 2 31" xfId="428"/>
    <cellStyle name="Percent 2 32" xfId="429"/>
    <cellStyle name="Percent 2 33" xfId="430"/>
    <cellStyle name="Percent 2 34" xfId="431"/>
    <cellStyle name="Percent 2 4" xfId="432"/>
    <cellStyle name="Percent 2 5" xfId="433"/>
    <cellStyle name="Percent 2 6" xfId="434"/>
    <cellStyle name="Percent 2 7" xfId="435"/>
    <cellStyle name="Percent 2 8" xfId="436"/>
    <cellStyle name="Percent 2 9" xfId="437"/>
    <cellStyle name="Percent 3" xfId="1012"/>
    <cellStyle name="Percent 3 10" xfId="438"/>
    <cellStyle name="Percent 3 11" xfId="439"/>
    <cellStyle name="Percent 3 12" xfId="440"/>
    <cellStyle name="Percent 3 13" xfId="441"/>
    <cellStyle name="Percent 3 14" xfId="442"/>
    <cellStyle name="Percent 3 15" xfId="443"/>
    <cellStyle name="Percent 3 16" xfId="444"/>
    <cellStyle name="Percent 3 17" xfId="445"/>
    <cellStyle name="Percent 3 18" xfId="446"/>
    <cellStyle name="Percent 3 19" xfId="447"/>
    <cellStyle name="Percent 3 2" xfId="448"/>
    <cellStyle name="Percent 3 20" xfId="449"/>
    <cellStyle name="Percent 3 21" xfId="450"/>
    <cellStyle name="Percent 3 22" xfId="451"/>
    <cellStyle name="Percent 3 23" xfId="452"/>
    <cellStyle name="Percent 3 24" xfId="453"/>
    <cellStyle name="Percent 3 25" xfId="454"/>
    <cellStyle name="Percent 3 26" xfId="455"/>
    <cellStyle name="Percent 3 27" xfId="456"/>
    <cellStyle name="Percent 3 28" xfId="457"/>
    <cellStyle name="Percent 3 29" xfId="458"/>
    <cellStyle name="Percent 3 3" xfId="459"/>
    <cellStyle name="Percent 3 30" xfId="460"/>
    <cellStyle name="Percent 3 31" xfId="461"/>
    <cellStyle name="Percent 3 32" xfId="462"/>
    <cellStyle name="Percent 3 4" xfId="463"/>
    <cellStyle name="Percent 3 5" xfId="464"/>
    <cellStyle name="Percent 3 6" xfId="465"/>
    <cellStyle name="Percent 3 7" xfId="466"/>
    <cellStyle name="Percent 3 8" xfId="467"/>
    <cellStyle name="Percent 3 9" xfId="468"/>
    <cellStyle name="Percent 4" xfId="469"/>
  </cellStyles>
  <dxfs count="10">
    <dxf>
      <font>
        <color theme="0"/>
      </font>
      <fill>
        <patternFill>
          <bgColor theme="0"/>
        </patternFill>
      </fill>
    </dxf>
    <dxf>
      <font>
        <color theme="0"/>
      </font>
    </dxf>
    <dxf>
      <font>
        <color theme="0"/>
      </font>
      <fill>
        <patternFill>
          <bgColor theme="0"/>
        </patternFill>
      </fill>
    </dxf>
    <dxf>
      <fill>
        <patternFill>
          <bgColor rgb="FFFFC7CE"/>
        </patternFill>
      </fill>
    </dxf>
    <dxf>
      <font>
        <condense val="0"/>
        <extend val="0"/>
        <color rgb="FF9C0006"/>
      </font>
      <fill>
        <patternFill>
          <bgColor rgb="FFFFC7CE"/>
        </patternFill>
      </fill>
    </dxf>
    <dxf>
      <fill>
        <patternFill>
          <bgColor rgb="FFFF0000"/>
        </patternFill>
      </fill>
    </dxf>
    <dxf>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s>
  <tableStyles count="0" defaultTableStyle="TableStyleMedium9" defaultPivotStyle="PivotStyleLight16"/>
  <colors>
    <mruColors>
      <color rgb="FFFFFF99"/>
      <color rgb="FFFFFF66"/>
      <color rgb="FFCC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1" Type="http://schemas.openxmlformats.org/officeDocument/2006/relationships/hyperlink" Target="#'RK2013'!A1"/></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2.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95250</xdr:colOff>
      <xdr:row>2</xdr:row>
      <xdr:rowOff>95252</xdr:rowOff>
    </xdr:from>
    <xdr:to>
      <xdr:col>2</xdr:col>
      <xdr:colOff>1133475</xdr:colOff>
      <xdr:row>5</xdr:row>
      <xdr:rowOff>104775</xdr:rowOff>
    </xdr:to>
    <xdr:pic>
      <xdr:nvPicPr>
        <xdr:cNvPr id="3" name="Picture 2" descr="F:\Logo\SMK N 2.jpg"/>
        <xdr:cNvPicPr/>
      </xdr:nvPicPr>
      <xdr:blipFill>
        <a:blip xmlns:r="http://schemas.openxmlformats.org/officeDocument/2006/relationships" r:embed="rId1" cstate="print">
          <a:clrChange>
            <a:clrFrom>
              <a:srgbClr val="FFFFFF"/>
            </a:clrFrom>
            <a:clrTo>
              <a:srgbClr val="FFFFFF">
                <a:alpha val="0"/>
              </a:srgbClr>
            </a:clrTo>
          </a:clrChange>
        </a:blip>
        <a:srcRect/>
        <a:stretch>
          <a:fillRect/>
        </a:stretch>
      </xdr:blipFill>
      <xdr:spPr bwMode="auto">
        <a:xfrm>
          <a:off x="876300" y="485777"/>
          <a:ext cx="1038225" cy="971548"/>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2238376</xdr:colOff>
      <xdr:row>2</xdr:row>
      <xdr:rowOff>47625</xdr:rowOff>
    </xdr:from>
    <xdr:to>
      <xdr:col>0</xdr:col>
      <xdr:colOff>3571876</xdr:colOff>
      <xdr:row>2</xdr:row>
      <xdr:rowOff>1391793</xdr:rowOff>
    </xdr:to>
    <xdr:pic>
      <xdr:nvPicPr>
        <xdr:cNvPr id="2" name="Picture 1" descr="tutwurihandayani.jpg"/>
        <xdr:cNvPicPr>
          <a:picLocks noChangeAspect="1"/>
        </xdr:cNvPicPr>
      </xdr:nvPicPr>
      <xdr:blipFill>
        <a:blip xmlns:r="http://schemas.openxmlformats.org/officeDocument/2006/relationships" r:embed="rId1"/>
        <a:stretch>
          <a:fillRect/>
        </a:stretch>
      </xdr:blipFill>
      <xdr:spPr>
        <a:xfrm>
          <a:off x="2238376" y="495300"/>
          <a:ext cx="1333500" cy="134416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95250</xdr:colOff>
          <xdr:row>2</xdr:row>
          <xdr:rowOff>219075</xdr:rowOff>
        </xdr:from>
        <xdr:to>
          <xdr:col>4</xdr:col>
          <xdr:colOff>333375</xdr:colOff>
          <xdr:row>2</xdr:row>
          <xdr:rowOff>647700</xdr:rowOff>
        </xdr:to>
        <xdr:sp macro="" textlink="">
          <xdr:nvSpPr>
            <xdr:cNvPr id="3073" name="CommandButton1" hidden="1">
              <a:extLst>
                <a:ext uri="{63B3BB69-23CF-44E3-9099-C40C66FF867C}">
                  <a14:compatExt spid="_x0000_s307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2</xdr:row>
          <xdr:rowOff>752475</xdr:rowOff>
        </xdr:from>
        <xdr:to>
          <xdr:col>4</xdr:col>
          <xdr:colOff>323850</xdr:colOff>
          <xdr:row>2</xdr:row>
          <xdr:rowOff>1200150</xdr:rowOff>
        </xdr:to>
        <xdr:sp macro="" textlink="">
          <xdr:nvSpPr>
            <xdr:cNvPr id="3077" name="CommandButton2" hidden="1">
              <a:extLst>
                <a:ext uri="{63B3BB69-23CF-44E3-9099-C40C66FF867C}">
                  <a14:compatExt spid="_x0000_s3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400050</xdr:colOff>
          <xdr:row>0</xdr:row>
          <xdr:rowOff>390525</xdr:rowOff>
        </xdr:from>
        <xdr:to>
          <xdr:col>9</xdr:col>
          <xdr:colOff>85725</xdr:colOff>
          <xdr:row>0</xdr:row>
          <xdr:rowOff>819150</xdr:rowOff>
        </xdr:to>
        <xdr:sp macro="" textlink="">
          <xdr:nvSpPr>
            <xdr:cNvPr id="5122" name="CommandButton1" hidden="1">
              <a:extLst>
                <a:ext uri="{63B3BB69-23CF-44E3-9099-C40C66FF867C}">
                  <a14:compatExt spid="_x0000_s51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0</xdr:row>
          <xdr:rowOff>923925</xdr:rowOff>
        </xdr:from>
        <xdr:to>
          <xdr:col>9</xdr:col>
          <xdr:colOff>66675</xdr:colOff>
          <xdr:row>2</xdr:row>
          <xdr:rowOff>76200</xdr:rowOff>
        </xdr:to>
        <xdr:sp macro="" textlink="">
          <xdr:nvSpPr>
            <xdr:cNvPr id="5123" name="CommandButton2" hidden="1">
              <a:extLst>
                <a:ext uri="{63B3BB69-23CF-44E3-9099-C40C66FF867C}">
                  <a14:compatExt spid="_x0000_s51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171450</xdr:colOff>
      <xdr:row>34</xdr:row>
      <xdr:rowOff>9525</xdr:rowOff>
    </xdr:from>
    <xdr:to>
      <xdr:col>1</xdr:col>
      <xdr:colOff>1352550</xdr:colOff>
      <xdr:row>42</xdr:row>
      <xdr:rowOff>0</xdr:rowOff>
    </xdr:to>
    <xdr:sp macro="" textlink="">
      <xdr:nvSpPr>
        <xdr:cNvPr id="2" name="Rectangle 1"/>
        <xdr:cNvSpPr/>
      </xdr:nvSpPr>
      <xdr:spPr>
        <a:xfrm>
          <a:off x="428625" y="6296025"/>
          <a:ext cx="1181100" cy="1514475"/>
        </a:xfrm>
        <a:prstGeom prst="rect">
          <a:avLst/>
        </a:prstGeom>
        <a:ln w="12700"/>
      </xdr:spPr>
      <xdr:style>
        <a:lnRef idx="2">
          <a:schemeClr val="dk1"/>
        </a:lnRef>
        <a:fillRef idx="1">
          <a:schemeClr val="lt1"/>
        </a:fillRef>
        <a:effectRef idx="0">
          <a:schemeClr val="dk1"/>
        </a:effectRef>
        <a:fontRef idx="minor">
          <a:schemeClr val="dk1"/>
        </a:fontRef>
      </xdr:style>
      <xdr:txBody>
        <a:bodyPr rtlCol="0" anchor="ctr"/>
        <a:lstStyle/>
        <a:p>
          <a:pPr algn="ctr"/>
          <a:r>
            <a:rPr lang="en-US" sz="1100">
              <a:ln w="3175">
                <a:solidFill>
                  <a:schemeClr val="tx1"/>
                </a:solidFill>
              </a:ln>
            </a:rPr>
            <a:t>Pas Foto</a:t>
          </a:r>
        </a:p>
        <a:p>
          <a:pPr algn="ctr"/>
          <a:r>
            <a:rPr lang="en-US" sz="1100">
              <a:ln w="3175">
                <a:solidFill>
                  <a:schemeClr val="tx1"/>
                </a:solidFill>
              </a:ln>
            </a:rPr>
            <a:t>3 x 4</a:t>
          </a:r>
        </a:p>
      </xdr:txBody>
    </xdr:sp>
    <xdr:clientData/>
  </xdr:twoCellAnchor>
  <mc:AlternateContent xmlns:mc="http://schemas.openxmlformats.org/markup-compatibility/2006">
    <mc:Choice xmlns:a14="http://schemas.microsoft.com/office/drawing/2010/main" Requires="a14">
      <xdr:twoCellAnchor editAs="oneCell">
        <xdr:from>
          <xdr:col>6</xdr:col>
          <xdr:colOff>9525</xdr:colOff>
          <xdr:row>2</xdr:row>
          <xdr:rowOff>171450</xdr:rowOff>
        </xdr:from>
        <xdr:to>
          <xdr:col>7</xdr:col>
          <xdr:colOff>247650</xdr:colOff>
          <xdr:row>3</xdr:row>
          <xdr:rowOff>200025</xdr:rowOff>
        </xdr:to>
        <xdr:sp macro="" textlink="">
          <xdr:nvSpPr>
            <xdr:cNvPr id="6145" name="CommandButton1" hidden="1">
              <a:extLst>
                <a:ext uri="{63B3BB69-23CF-44E3-9099-C40C66FF867C}">
                  <a14:compatExt spid="_x0000_s614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xdr:row>
          <xdr:rowOff>76200</xdr:rowOff>
        </xdr:from>
        <xdr:to>
          <xdr:col>7</xdr:col>
          <xdr:colOff>209550</xdr:colOff>
          <xdr:row>6</xdr:row>
          <xdr:rowOff>66675</xdr:rowOff>
        </xdr:to>
        <xdr:sp macro="" textlink="">
          <xdr:nvSpPr>
            <xdr:cNvPr id="6146" name="CommandButton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47625</xdr:colOff>
          <xdr:row>17</xdr:row>
          <xdr:rowOff>47625</xdr:rowOff>
        </xdr:from>
        <xdr:to>
          <xdr:col>12</xdr:col>
          <xdr:colOff>371475</xdr:colOff>
          <xdr:row>19</xdr:row>
          <xdr:rowOff>19050</xdr:rowOff>
        </xdr:to>
        <xdr:sp macro="" textlink="">
          <xdr:nvSpPr>
            <xdr:cNvPr id="7170" name="CommandButton1" hidden="1">
              <a:extLst>
                <a:ext uri="{63B3BB69-23CF-44E3-9099-C40C66FF867C}">
                  <a14:compatExt spid="_x0000_s717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57150</xdr:colOff>
          <xdr:row>19</xdr:row>
          <xdr:rowOff>190500</xdr:rowOff>
        </xdr:from>
        <xdr:to>
          <xdr:col>12</xdr:col>
          <xdr:colOff>352425</xdr:colOff>
          <xdr:row>21</xdr:row>
          <xdr:rowOff>85725</xdr:rowOff>
        </xdr:to>
        <xdr:sp macro="" textlink="">
          <xdr:nvSpPr>
            <xdr:cNvPr id="7171" name="CommandButton2"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600075</xdr:colOff>
          <xdr:row>16</xdr:row>
          <xdr:rowOff>190500</xdr:rowOff>
        </xdr:from>
        <xdr:to>
          <xdr:col>9</xdr:col>
          <xdr:colOff>38100</xdr:colOff>
          <xdr:row>18</xdr:row>
          <xdr:rowOff>19050</xdr:rowOff>
        </xdr:to>
        <xdr:sp macro="" textlink="">
          <xdr:nvSpPr>
            <xdr:cNvPr id="10244" name="CommandButton1" hidden="1">
              <a:extLst>
                <a:ext uri="{63B3BB69-23CF-44E3-9099-C40C66FF867C}">
                  <a14:compatExt spid="_x0000_s1024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18</xdr:row>
          <xdr:rowOff>209550</xdr:rowOff>
        </xdr:from>
        <xdr:to>
          <xdr:col>9</xdr:col>
          <xdr:colOff>38100</xdr:colOff>
          <xdr:row>18</xdr:row>
          <xdr:rowOff>657225</xdr:rowOff>
        </xdr:to>
        <xdr:sp macro="" textlink="">
          <xdr:nvSpPr>
            <xdr:cNvPr id="10245" name="CommandButton2" hidden="1">
              <a:extLst>
                <a:ext uri="{63B3BB69-23CF-44E3-9099-C40C66FF867C}">
                  <a14:compatExt spid="_x0000_s10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581025</xdr:colOff>
          <xdr:row>53</xdr:row>
          <xdr:rowOff>76200</xdr:rowOff>
        </xdr:from>
        <xdr:to>
          <xdr:col>4</xdr:col>
          <xdr:colOff>104775</xdr:colOff>
          <xdr:row>55</xdr:row>
          <xdr:rowOff>142875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53</xdr:row>
          <xdr:rowOff>76200</xdr:rowOff>
        </xdr:from>
        <xdr:to>
          <xdr:col>8</xdr:col>
          <xdr:colOff>247650</xdr:colOff>
          <xdr:row>55</xdr:row>
          <xdr:rowOff>142875</xdr:rowOff>
        </xdr:to>
        <xdr:sp macro="" textlink="">
          <xdr:nvSpPr>
            <xdr:cNvPr id="11266" name="CommandButton2" hidden="1">
              <a:extLst>
                <a:ext uri="{63B3BB69-23CF-44E3-9099-C40C66FF867C}">
                  <a14:compatExt spid="_x0000_s11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76200</xdr:rowOff>
        </xdr:from>
        <xdr:to>
          <xdr:col>3</xdr:col>
          <xdr:colOff>476250</xdr:colOff>
          <xdr:row>55</xdr:row>
          <xdr:rowOff>142875</xdr:rowOff>
        </xdr:to>
        <xdr:sp macro="" textlink="">
          <xdr:nvSpPr>
            <xdr:cNvPr id="11267" name="CommandButton3" hidden="1">
              <a:extLst>
                <a:ext uri="{63B3BB69-23CF-44E3-9099-C40C66FF867C}">
                  <a14:compatExt spid="_x0000_s1126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7</xdr:col>
      <xdr:colOff>142875</xdr:colOff>
      <xdr:row>5</xdr:row>
      <xdr:rowOff>114300</xdr:rowOff>
    </xdr:from>
    <xdr:to>
      <xdr:col>9</xdr:col>
      <xdr:colOff>390525</xdr:colOff>
      <xdr:row>9</xdr:row>
      <xdr:rowOff>95250</xdr:rowOff>
    </xdr:to>
    <xdr:sp macro="" textlink="">
      <xdr:nvSpPr>
        <xdr:cNvPr id="2" name="Heart 1">
          <a:hlinkClick xmlns:r="http://schemas.openxmlformats.org/officeDocument/2006/relationships" r:id="rId1"/>
        </xdr:cNvPr>
        <xdr:cNvSpPr/>
      </xdr:nvSpPr>
      <xdr:spPr>
        <a:xfrm>
          <a:off x="7210425" y="1133475"/>
          <a:ext cx="1466850" cy="1085850"/>
        </a:xfrm>
        <a:prstGeom prst="hear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a:p>
          <a:pPr algn="l"/>
          <a:r>
            <a:rPr lang="en-GB" sz="1100"/>
            <a:t>Ke...</a:t>
          </a:r>
          <a:r>
            <a:rPr lang="en-GB" sz="1100" baseline="0"/>
            <a:t> M E N U</a:t>
          </a:r>
          <a:endParaRPr lang="en-GB"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Data%20Sekolah\ADMINISTRASI%20WALIKELAS\2012_2013\APLIKASI%20RAPORT\SEMESTER%202\Data%20Rapor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Utama"/>
      <sheetName val="Data Informasi Raport"/>
      <sheetName val="Data Peserta Didik"/>
      <sheetName val="Data Mata Pelajaran"/>
      <sheetName val="Pengembangan Diri &amp; Kepribadian"/>
      <sheetName val="Data Praktek Industri"/>
      <sheetName val="Catatan &amp; Pernyataan"/>
      <sheetName val="Input Nilai"/>
      <sheetName val="Nilai Raport"/>
      <sheetName val="Leger Semester (CETAK)"/>
      <sheetName val="terbilang"/>
      <sheetName val="Catatan Akhir Pendidikan"/>
      <sheetName val="Keterangan Pindah"/>
      <sheetName val="Sheet1"/>
    </sheetNames>
    <sheetDataSet>
      <sheetData sheetId="0" refreshError="1"/>
      <sheetData sheetId="1" refreshError="1"/>
      <sheetData sheetId="2" refreshError="1"/>
      <sheetData sheetId="3" refreshError="1">
        <row r="2">
          <cell r="F2" t="str">
            <v>Islam</v>
          </cell>
        </row>
        <row r="3">
          <cell r="F3" t="str">
            <v>Kristen</v>
          </cell>
        </row>
        <row r="4">
          <cell r="F4" t="str">
            <v>Katolik</v>
          </cell>
        </row>
        <row r="5">
          <cell r="F5" t="str">
            <v>Hindu</v>
          </cell>
        </row>
        <row r="6">
          <cell r="F6" t="str">
            <v>Budha</v>
          </cell>
        </row>
        <row r="7">
          <cell r="F7" t="str">
            <v>Khong Hu Chu</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smkn2baleendah@yahoo.co.id" TargetMode="External"/><Relationship Id="rId1" Type="http://schemas.openxmlformats.org/officeDocument/2006/relationships/hyperlink" Target="mailto:smkn2baleendah@yahoo.co.id"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3.xml"/><Relationship Id="rId7" Type="http://schemas.openxmlformats.org/officeDocument/2006/relationships/control" Target="../activeX/activeX4.xml"/><Relationship Id="rId2" Type="http://schemas.openxmlformats.org/officeDocument/2006/relationships/printerSettings" Target="../printerSettings/printerSettings8.bin"/><Relationship Id="rId1" Type="http://schemas.openxmlformats.org/officeDocument/2006/relationships/hyperlink" Target="mailto:smkn1seyegan@gmail.com" TargetMode="External"/><Relationship Id="rId6" Type="http://schemas.openxmlformats.org/officeDocument/2006/relationships/image" Target="../media/image5.emf"/><Relationship Id="rId5" Type="http://schemas.openxmlformats.org/officeDocument/2006/relationships/control" Target="../activeX/activeX3.xm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10.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12.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10.xml"/><Relationship Id="rId5" Type="http://schemas.openxmlformats.org/officeDocument/2006/relationships/image" Target="../media/image11.emf"/><Relationship Id="rId4" Type="http://schemas.openxmlformats.org/officeDocument/2006/relationships/control" Target="../activeX/activeX9.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7.vml"/><Relationship Id="rId7" Type="http://schemas.openxmlformats.org/officeDocument/2006/relationships/image" Target="../media/image14.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2.xml"/><Relationship Id="rId5" Type="http://schemas.openxmlformats.org/officeDocument/2006/relationships/image" Target="../media/image13.emf"/><Relationship Id="rId4" Type="http://schemas.openxmlformats.org/officeDocument/2006/relationships/control" Target="../activeX/activeX11.xml"/><Relationship Id="rId9" Type="http://schemas.openxmlformats.org/officeDocument/2006/relationships/image" Target="../media/image15.emf"/></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27"/>
  <sheetViews>
    <sheetView showGridLines="0" showRowColHeaders="0" topLeftCell="A7" workbookViewId="0">
      <selection activeCell="C7" sqref="C7"/>
    </sheetView>
  </sheetViews>
  <sheetFormatPr defaultRowHeight="15" x14ac:dyDescent="0.25"/>
  <cols>
    <col min="1" max="1" width="9.140625" style="136"/>
    <col min="2" max="2" width="2.5703125" style="136" customWidth="1"/>
    <col min="3" max="3" width="18.85546875" style="136" customWidth="1"/>
    <col min="4" max="4" width="3.28515625" style="136" customWidth="1"/>
    <col min="5" max="5" width="4.42578125" style="136" customWidth="1"/>
    <col min="6" max="6" width="13.5703125" style="136" customWidth="1"/>
    <col min="7" max="7" width="76.42578125" style="136" customWidth="1"/>
    <col min="8" max="8" width="2.5703125" style="135" customWidth="1"/>
    <col min="9" max="9" width="3.140625" style="136" hidden="1" customWidth="1"/>
    <col min="10" max="10" width="7" style="137" hidden="1" customWidth="1"/>
    <col min="11" max="11" width="3" style="136" hidden="1" customWidth="1"/>
    <col min="12" max="12" width="3.42578125" style="136" hidden="1" customWidth="1"/>
    <col min="13" max="13" width="15.42578125" style="136" hidden="1" customWidth="1"/>
    <col min="14" max="14" width="2.5703125" style="136" customWidth="1"/>
    <col min="15" max="16384" width="9.140625" style="136"/>
  </cols>
  <sheetData>
    <row r="1" spans="1:18" s="111" customFormat="1" ht="15.75" thickBot="1" x14ac:dyDescent="0.3">
      <c r="A1" s="140"/>
      <c r="H1" s="112"/>
      <c r="J1" s="113"/>
    </row>
    <row r="2" spans="1:18" s="111" customFormat="1" x14ac:dyDescent="0.25">
      <c r="B2" s="320"/>
      <c r="C2" s="321"/>
      <c r="D2" s="321"/>
      <c r="E2" s="317"/>
      <c r="F2" s="316"/>
      <c r="G2" s="318"/>
      <c r="H2" s="112"/>
    </row>
    <row r="3" spans="1:18" s="111" customFormat="1" ht="27" customHeight="1" x14ac:dyDescent="0.7">
      <c r="B3" s="322"/>
      <c r="C3" s="323"/>
      <c r="D3" s="323"/>
      <c r="E3" s="319"/>
      <c r="F3" s="381" t="s">
        <v>251</v>
      </c>
      <c r="G3" s="382"/>
      <c r="H3" s="114"/>
    </row>
    <row r="4" spans="1:18" s="111" customFormat="1" ht="25.5" customHeight="1" x14ac:dyDescent="0.25">
      <c r="B4" s="322"/>
      <c r="C4" s="323"/>
      <c r="D4" s="323"/>
      <c r="E4" s="319"/>
      <c r="F4" s="387" t="s">
        <v>250</v>
      </c>
      <c r="G4" s="388"/>
      <c r="H4" s="115"/>
      <c r="J4" s="113"/>
    </row>
    <row r="5" spans="1:18" s="111" customFormat="1" ht="23.25" x14ac:dyDescent="0.25">
      <c r="B5" s="322"/>
      <c r="C5" s="323"/>
      <c r="D5" s="323"/>
      <c r="E5" s="319"/>
      <c r="F5" s="385" t="s">
        <v>107</v>
      </c>
      <c r="G5" s="386"/>
      <c r="H5" s="112"/>
      <c r="J5" s="113"/>
    </row>
    <row r="6" spans="1:18" s="111" customFormat="1" x14ac:dyDescent="0.25">
      <c r="B6" s="322"/>
      <c r="C6" s="323"/>
      <c r="D6" s="323"/>
      <c r="E6" s="319"/>
      <c r="F6" s="347"/>
      <c r="G6" s="344"/>
      <c r="H6" s="112"/>
      <c r="J6" s="113"/>
    </row>
    <row r="7" spans="1:18" s="111" customFormat="1" ht="26.25" x14ac:dyDescent="0.4">
      <c r="B7" s="322"/>
      <c r="C7" s="324" t="str">
        <f>Informasi_Rapot!C25</f>
        <v>XI TKJ 2</v>
      </c>
      <c r="D7" s="325"/>
      <c r="E7" s="319"/>
      <c r="F7" s="389" t="str">
        <f>Informasi_Rapot!C3</f>
        <v>SMK NEGERI 2 BALEENDAH</v>
      </c>
      <c r="G7" s="390"/>
      <c r="H7" s="116"/>
      <c r="J7" s="113"/>
    </row>
    <row r="8" spans="1:18" s="111" customFormat="1" ht="18.75" x14ac:dyDescent="0.3">
      <c r="B8" s="322"/>
      <c r="C8" s="323"/>
      <c r="D8" s="323"/>
      <c r="E8" s="319"/>
      <c r="F8" s="391" t="str">
        <f>"Tahun Pelajaran   "&amp;Informasi_Rapot!C28</f>
        <v>Tahun Pelajaran   2014/2015</v>
      </c>
      <c r="G8" s="392"/>
      <c r="H8" s="116"/>
      <c r="I8" s="111" t="s">
        <v>110</v>
      </c>
      <c r="J8" s="113"/>
    </row>
    <row r="9" spans="1:18" s="111" customFormat="1" ht="2.25" customHeight="1" x14ac:dyDescent="0.25">
      <c r="B9" s="322"/>
      <c r="C9" s="323"/>
      <c r="D9" s="323"/>
      <c r="E9" s="319"/>
      <c r="F9" s="347"/>
      <c r="G9" s="344"/>
      <c r="H9" s="112"/>
      <c r="I9" s="117"/>
      <c r="J9" s="118"/>
      <c r="K9" s="119"/>
      <c r="L9" s="119"/>
      <c r="M9" s="120"/>
    </row>
    <row r="10" spans="1:18" s="111" customFormat="1" ht="15.75" x14ac:dyDescent="0.25">
      <c r="B10" s="322"/>
      <c r="C10" s="323"/>
      <c r="D10" s="323"/>
      <c r="E10" s="319"/>
      <c r="F10" s="393" t="str">
        <f>Informasi_Rapot!C6&amp;", "&amp;Informasi_Rapot!C9&amp;", "&amp;Informasi_Rapot!C10&amp;", "&amp;Informasi_Rapot!C11</f>
        <v>Jalan RAA Wiranata Kusumah No. 11, Baleendah, Baleendah, Kab. Bandung</v>
      </c>
      <c r="G10" s="394"/>
      <c r="H10" s="112"/>
      <c r="I10" s="121"/>
      <c r="J10" s="122" t="str">
        <f>IF(Informasi_Rapot!D3&lt;=23,"X","V")</f>
        <v>V</v>
      </c>
      <c r="K10" s="123"/>
      <c r="L10" s="124" t="s">
        <v>117</v>
      </c>
      <c r="M10" s="124"/>
      <c r="R10" s="113"/>
    </row>
    <row r="11" spans="1:18" s="111" customFormat="1" ht="6.75" customHeight="1" x14ac:dyDescent="0.25">
      <c r="B11" s="322"/>
      <c r="C11" s="323"/>
      <c r="D11" s="323"/>
      <c r="E11" s="319"/>
      <c r="F11" s="347"/>
      <c r="G11" s="344"/>
      <c r="H11" s="112"/>
      <c r="I11" s="121"/>
      <c r="J11" s="125"/>
      <c r="K11" s="123"/>
      <c r="L11" s="123"/>
      <c r="M11" s="124"/>
      <c r="R11" s="113"/>
    </row>
    <row r="12" spans="1:18" s="111" customFormat="1" x14ac:dyDescent="0.25">
      <c r="B12" s="322"/>
      <c r="C12" s="323"/>
      <c r="D12" s="323"/>
      <c r="E12" s="319"/>
      <c r="F12" s="347"/>
      <c r="G12" s="344"/>
      <c r="H12" s="112"/>
      <c r="I12" s="121"/>
      <c r="J12" s="122" t="str">
        <f>IF(Peserta_Didik!C48&lt;Peserta_Didik!C47,"X","V")</f>
        <v>X</v>
      </c>
      <c r="K12" s="123"/>
      <c r="L12" s="124" t="s">
        <v>114</v>
      </c>
      <c r="M12" s="124"/>
    </row>
    <row r="13" spans="1:18" s="111" customFormat="1" ht="8.25" customHeight="1" x14ac:dyDescent="0.25">
      <c r="B13" s="322"/>
      <c r="C13" s="323"/>
      <c r="D13" s="323"/>
      <c r="E13" s="319"/>
      <c r="F13" s="348"/>
      <c r="G13" s="344"/>
      <c r="H13" s="112"/>
      <c r="I13" s="121"/>
      <c r="J13" s="125"/>
      <c r="K13" s="123"/>
      <c r="L13" s="123"/>
      <c r="M13" s="124"/>
    </row>
    <row r="14" spans="1:18" s="111" customFormat="1" ht="15.75" thickBot="1" x14ac:dyDescent="0.3">
      <c r="B14" s="322"/>
      <c r="C14" s="323"/>
      <c r="D14" s="323"/>
      <c r="E14" s="319"/>
      <c r="F14" s="348"/>
      <c r="G14" s="344"/>
      <c r="H14" s="112"/>
      <c r="I14" s="121"/>
      <c r="J14" s="122" t="str">
        <f>IF(Mata_Pelajaran!H4&lt;9,"X","V")</f>
        <v>V</v>
      </c>
      <c r="K14" s="123"/>
      <c r="L14" s="123" t="s">
        <v>115</v>
      </c>
      <c r="M14" s="124"/>
    </row>
    <row r="15" spans="1:18" s="111" customFormat="1" ht="27" customHeight="1" x14ac:dyDescent="0.25">
      <c r="B15" s="345"/>
      <c r="C15" s="383" t="s">
        <v>336</v>
      </c>
      <c r="D15" s="383"/>
      <c r="E15" s="383"/>
      <c r="F15" s="383"/>
      <c r="G15" s="384"/>
      <c r="H15" s="112"/>
      <c r="I15" s="121"/>
      <c r="J15" s="125"/>
      <c r="K15" s="123"/>
      <c r="L15" s="123"/>
      <c r="M15" s="124"/>
    </row>
    <row r="16" spans="1:18" s="111" customFormat="1" ht="21" x14ac:dyDescent="0.35">
      <c r="B16" s="326"/>
      <c r="C16" s="327" t="s">
        <v>116</v>
      </c>
      <c r="D16" s="327"/>
      <c r="E16" s="328"/>
      <c r="F16" s="328"/>
      <c r="G16" s="329" t="s">
        <v>138</v>
      </c>
      <c r="H16" s="112"/>
      <c r="I16" s="121"/>
      <c r="J16" s="126"/>
      <c r="K16" s="123"/>
      <c r="L16" s="123"/>
      <c r="M16" s="124"/>
    </row>
    <row r="17" spans="2:13" s="111" customFormat="1" ht="18.75" x14ac:dyDescent="0.3">
      <c r="B17" s="330"/>
      <c r="C17" s="331" t="s">
        <v>117</v>
      </c>
      <c r="D17" s="331"/>
      <c r="E17" s="332"/>
      <c r="F17" s="332"/>
      <c r="G17" s="333"/>
      <c r="H17" s="112"/>
      <c r="I17" s="121"/>
      <c r="J17" s="125"/>
      <c r="K17" s="123"/>
      <c r="L17" s="123"/>
      <c r="M17" s="124"/>
    </row>
    <row r="18" spans="2:13" s="111" customFormat="1" ht="18.75" x14ac:dyDescent="0.3">
      <c r="B18" s="330"/>
      <c r="C18" s="331" t="s">
        <v>114</v>
      </c>
      <c r="D18" s="331"/>
      <c r="E18" s="332"/>
      <c r="F18" s="332"/>
      <c r="G18" s="333" t="s">
        <v>119</v>
      </c>
      <c r="H18" s="112"/>
      <c r="I18" s="127"/>
      <c r="J18" s="128"/>
      <c r="K18" s="129"/>
      <c r="L18" s="129"/>
      <c r="M18" s="130"/>
    </row>
    <row r="19" spans="2:13" s="111" customFormat="1" ht="18.75" x14ac:dyDescent="0.3">
      <c r="B19" s="330"/>
      <c r="C19" s="331" t="s">
        <v>115</v>
      </c>
      <c r="D19" s="331"/>
      <c r="E19" s="332"/>
      <c r="F19" s="332"/>
      <c r="G19" s="333" t="s">
        <v>120</v>
      </c>
      <c r="H19" s="112"/>
      <c r="I19" s="131"/>
      <c r="J19" s="132"/>
      <c r="K19" s="131"/>
      <c r="L19" s="131"/>
      <c r="M19" s="131"/>
    </row>
    <row r="20" spans="2:13" s="111" customFormat="1" ht="18.75" x14ac:dyDescent="0.3">
      <c r="B20" s="330"/>
      <c r="C20" s="334" t="s">
        <v>252</v>
      </c>
      <c r="D20" s="334"/>
      <c r="E20" s="332"/>
      <c r="F20" s="332"/>
      <c r="G20" s="333" t="s">
        <v>252</v>
      </c>
      <c r="H20" s="112"/>
      <c r="I20" s="133" t="s">
        <v>112</v>
      </c>
      <c r="J20" s="134" t="s">
        <v>111</v>
      </c>
    </row>
    <row r="21" spans="2:13" ht="18.75" x14ac:dyDescent="0.3">
      <c r="B21" s="330"/>
      <c r="C21" s="334" t="s">
        <v>253</v>
      </c>
      <c r="D21" s="334"/>
      <c r="E21" s="332"/>
      <c r="F21" s="332"/>
      <c r="G21" s="335" t="s">
        <v>253</v>
      </c>
    </row>
    <row r="22" spans="2:13" ht="18.75" x14ac:dyDescent="0.3">
      <c r="B22" s="346"/>
      <c r="C22" s="366" t="s">
        <v>347</v>
      </c>
      <c r="D22" s="336"/>
      <c r="E22" s="336"/>
      <c r="F22" s="336"/>
      <c r="G22" s="333" t="s">
        <v>254</v>
      </c>
      <c r="I22" s="138" t="s">
        <v>113</v>
      </c>
      <c r="J22" s="139" t="s">
        <v>181</v>
      </c>
    </row>
    <row r="23" spans="2:13" ht="18.75" x14ac:dyDescent="0.3">
      <c r="B23" s="346"/>
      <c r="C23" s="336"/>
      <c r="D23" s="336"/>
      <c r="E23" s="336"/>
      <c r="F23" s="336"/>
      <c r="G23" s="337"/>
    </row>
    <row r="24" spans="2:13" x14ac:dyDescent="0.25">
      <c r="B24" s="346"/>
      <c r="C24" s="336"/>
      <c r="D24" s="336"/>
      <c r="E24" s="336"/>
      <c r="F24" s="336"/>
      <c r="G24" s="338"/>
    </row>
    <row r="25" spans="2:13" x14ac:dyDescent="0.25">
      <c r="B25" s="346"/>
      <c r="C25" s="336"/>
      <c r="D25" s="336"/>
      <c r="E25" s="336"/>
      <c r="F25" s="336"/>
      <c r="G25" s="338"/>
    </row>
    <row r="26" spans="2:13" x14ac:dyDescent="0.25">
      <c r="B26" s="346"/>
      <c r="C26" s="336"/>
      <c r="D26" s="336"/>
      <c r="E26" s="336"/>
      <c r="F26" s="336"/>
      <c r="G26" s="338"/>
    </row>
    <row r="27" spans="2:13" ht="15.75" thickBot="1" x14ac:dyDescent="0.3">
      <c r="B27" s="339"/>
      <c r="C27" s="340"/>
      <c r="D27" s="340"/>
      <c r="E27" s="340"/>
      <c r="F27" s="340"/>
      <c r="G27" s="341"/>
    </row>
  </sheetData>
  <sheetProtection selectLockedCells="1"/>
  <mergeCells count="7">
    <mergeCell ref="F3:G3"/>
    <mergeCell ref="C15:G15"/>
    <mergeCell ref="F5:G5"/>
    <mergeCell ref="F4:G4"/>
    <mergeCell ref="F7:G7"/>
    <mergeCell ref="F8:G8"/>
    <mergeCell ref="F10:G10"/>
  </mergeCells>
  <conditionalFormatting sqref="J10 J14">
    <cfRule type="cellIs" dxfId="9" priority="5" operator="equal">
      <formula>"X"</formula>
    </cfRule>
    <cfRule type="cellIs" dxfId="8" priority="9" operator="equal">
      <formula>"X"</formula>
    </cfRule>
    <cfRule type="cellIs" dxfId="7" priority="10" operator="equal">
      <formula>"""X"""</formula>
    </cfRule>
    <cfRule type="cellIs" dxfId="6" priority="11" operator="equal">
      <formula>"""X"""</formula>
    </cfRule>
  </conditionalFormatting>
  <conditionalFormatting sqref="J12">
    <cfRule type="cellIs" dxfId="5" priority="6" operator="equal">
      <formula>"X"</formula>
    </cfRule>
    <cfRule type="cellIs" dxfId="4" priority="7" operator="equal">
      <formula>"""X"""</formula>
    </cfRule>
    <cfRule type="cellIs" dxfId="3" priority="8" operator="equal">
      <formula>"""X"""</formula>
    </cfRule>
  </conditionalFormatting>
  <dataValidations count="1">
    <dataValidation showDropDown="1" showInputMessage="1" showErrorMessage="1" sqref="F12"/>
  </dataValidations>
  <hyperlinks>
    <hyperlink ref="C17" location="Informasi_Rapot!A1" display="Informasi Raport"/>
    <hyperlink ref="C18" location="Peserta_Didik!A1" display="Peserta Didik"/>
    <hyperlink ref="C19" location="Mata_Pelajaran!A1" display="Mata Pelajaran"/>
    <hyperlink ref="G18" location="Sampul2!A1" display="Sampul Identitas Sekolah"/>
    <hyperlink ref="G19" location="Keterangan_Diri!A1" display="Keterangan Diri Peserta Didik"/>
    <hyperlink ref="G20" location="Cetak_Capaian1!A1" display="Capaian Semester 1"/>
    <hyperlink ref="C20" location="Capaian1!A1" display="Capaian Semester 1"/>
    <hyperlink ref="C21" location="Deskripsi1!A1" display="Deskripsi Semester 1"/>
    <hyperlink ref="G21" location="Cetak_Deskripsi1!A1" display="Deskripsi Semester 1"/>
    <hyperlink ref="G22" location="Leger_Capaian1!A1" display="Leger Capaian Semester 1"/>
    <hyperlink ref="C22" location="Tnd_Terima!A1" display="Tanda Terima Raport"/>
  </hyperlinks>
  <pageMargins left="0.7" right="0.7" top="0.75" bottom="0.75" header="0.3" footer="0.3"/>
  <pageSetup paperSize="9"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T33"/>
  <sheetViews>
    <sheetView showGridLines="0" showRowColHeaders="0" topLeftCell="A15" zoomScale="90" zoomScaleNormal="90" workbookViewId="0">
      <selection activeCell="B33" sqref="B33:C33"/>
    </sheetView>
  </sheetViews>
  <sheetFormatPr defaultRowHeight="15" x14ac:dyDescent="0.25"/>
  <cols>
    <col min="1" max="1" width="6.28515625" style="147" customWidth="1"/>
    <col min="2" max="2" width="45.5703125" style="147" customWidth="1"/>
    <col min="3" max="3" width="56.7109375" style="148" customWidth="1"/>
    <col min="4" max="16384" width="9.140625" style="147"/>
  </cols>
  <sheetData>
    <row r="1" spans="1:20" x14ac:dyDescent="0.25">
      <c r="A1" s="149"/>
    </row>
    <row r="2" spans="1:20" s="141" customFormat="1" ht="20.25" customHeight="1" x14ac:dyDescent="0.25">
      <c r="B2" s="396" t="s">
        <v>89</v>
      </c>
      <c r="C2" s="397"/>
    </row>
    <row r="3" spans="1:20" s="144" customFormat="1" ht="20.25" customHeight="1" x14ac:dyDescent="0.25">
      <c r="B3" s="142" t="s">
        <v>23</v>
      </c>
      <c r="C3" s="78" t="s">
        <v>314</v>
      </c>
      <c r="D3" s="143">
        <f>COUNTA(C3:C4,C6,C7,C8,C9,C10,C11,C12,C13,C14,C16,C17,C18,C20,C21,C22,C23,C25,C26,C27,C28,C29,C31)</f>
        <v>24</v>
      </c>
    </row>
    <row r="4" spans="1:20" s="144" customFormat="1" ht="20.25" customHeight="1" x14ac:dyDescent="0.25">
      <c r="B4" s="142" t="s">
        <v>24</v>
      </c>
      <c r="C4" s="79" t="s">
        <v>315</v>
      </c>
      <c r="T4" s="141"/>
    </row>
    <row r="5" spans="1:20" s="141" customFormat="1" ht="20.25" customHeight="1" x14ac:dyDescent="0.25">
      <c r="B5" s="396" t="s">
        <v>2</v>
      </c>
      <c r="C5" s="397"/>
      <c r="T5" s="144"/>
    </row>
    <row r="6" spans="1:20" s="144" customFormat="1" ht="20.25" customHeight="1" x14ac:dyDescent="0.25">
      <c r="B6" s="142" t="s">
        <v>90</v>
      </c>
      <c r="C6" s="80" t="s">
        <v>316</v>
      </c>
    </row>
    <row r="7" spans="1:20" s="144" customFormat="1" ht="20.25" customHeight="1" x14ac:dyDescent="0.25">
      <c r="B7" s="142" t="s">
        <v>104</v>
      </c>
      <c r="C7" s="80">
        <v>40375</v>
      </c>
    </row>
    <row r="8" spans="1:20" s="144" customFormat="1" ht="20.25" customHeight="1" x14ac:dyDescent="0.25">
      <c r="B8" s="142" t="s">
        <v>105</v>
      </c>
      <c r="C8" s="298" t="s">
        <v>317</v>
      </c>
    </row>
    <row r="9" spans="1:20" s="144" customFormat="1" ht="20.25" customHeight="1" x14ac:dyDescent="0.25">
      <c r="B9" s="142" t="s">
        <v>3</v>
      </c>
      <c r="C9" s="80" t="s">
        <v>318</v>
      </c>
    </row>
    <row r="10" spans="1:20" s="144" customFormat="1" ht="20.25" customHeight="1" x14ac:dyDescent="0.25">
      <c r="B10" s="142" t="s">
        <v>4</v>
      </c>
      <c r="C10" s="80" t="s">
        <v>318</v>
      </c>
      <c r="P10" s="141"/>
      <c r="Q10" s="141"/>
      <c r="R10" s="141"/>
      <c r="S10" s="141"/>
    </row>
    <row r="11" spans="1:20" s="144" customFormat="1" ht="20.25" customHeight="1" x14ac:dyDescent="0.25">
      <c r="B11" s="142" t="s">
        <v>5</v>
      </c>
      <c r="C11" s="80" t="s">
        <v>319</v>
      </c>
    </row>
    <row r="12" spans="1:20" s="144" customFormat="1" ht="20.25" customHeight="1" x14ac:dyDescent="0.25">
      <c r="B12" s="142" t="s">
        <v>91</v>
      </c>
      <c r="C12" s="80" t="s">
        <v>320</v>
      </c>
    </row>
    <row r="13" spans="1:20" s="144" customFormat="1" ht="20.25" customHeight="1" x14ac:dyDescent="0.25">
      <c r="B13" s="145" t="s">
        <v>7</v>
      </c>
      <c r="C13" s="300" t="s">
        <v>348</v>
      </c>
    </row>
    <row r="14" spans="1:20" s="144" customFormat="1" ht="20.25" customHeight="1" x14ac:dyDescent="0.25">
      <c r="B14" s="145" t="s">
        <v>106</v>
      </c>
      <c r="C14" s="299" t="s">
        <v>321</v>
      </c>
    </row>
    <row r="15" spans="1:20" s="141" customFormat="1" ht="20.25" customHeight="1" x14ac:dyDescent="0.25">
      <c r="B15" s="396" t="s">
        <v>92</v>
      </c>
      <c r="C15" s="397"/>
    </row>
    <row r="16" spans="1:20" s="144" customFormat="1" ht="20.25" customHeight="1" x14ac:dyDescent="0.25">
      <c r="B16" s="142" t="s">
        <v>20</v>
      </c>
      <c r="C16" s="80" t="s">
        <v>351</v>
      </c>
    </row>
    <row r="17" spans="2:3" s="144" customFormat="1" ht="20.25" customHeight="1" x14ac:dyDescent="0.25">
      <c r="B17" s="142" t="s">
        <v>21</v>
      </c>
      <c r="C17" s="78" t="s">
        <v>352</v>
      </c>
    </row>
    <row r="18" spans="2:3" s="144" customFormat="1" ht="20.25" customHeight="1" x14ac:dyDescent="0.25">
      <c r="B18" s="142" t="s">
        <v>135</v>
      </c>
      <c r="C18" s="78" t="s">
        <v>353</v>
      </c>
    </row>
    <row r="19" spans="2:3" s="141" customFormat="1" ht="20.25" customHeight="1" x14ac:dyDescent="0.25">
      <c r="B19" s="396" t="s">
        <v>93</v>
      </c>
      <c r="C19" s="397"/>
    </row>
    <row r="20" spans="2:3" s="144" customFormat="1" ht="20.25" customHeight="1" x14ac:dyDescent="0.25">
      <c r="B20" s="142" t="s">
        <v>25</v>
      </c>
      <c r="C20" s="80" t="s">
        <v>322</v>
      </c>
    </row>
    <row r="21" spans="2:3" s="144" customFormat="1" ht="20.25" customHeight="1" x14ac:dyDescent="0.25">
      <c r="B21" s="142" t="s">
        <v>26</v>
      </c>
      <c r="C21" s="298" t="s">
        <v>338</v>
      </c>
    </row>
    <row r="22" spans="2:3" s="144" customFormat="1" ht="20.25" customHeight="1" x14ac:dyDescent="0.25">
      <c r="B22" s="142" t="s">
        <v>94</v>
      </c>
      <c r="C22" s="367" t="s">
        <v>327</v>
      </c>
    </row>
    <row r="23" spans="2:3" s="144" customFormat="1" ht="20.25" customHeight="1" x14ac:dyDescent="0.25">
      <c r="B23" s="142" t="s">
        <v>95</v>
      </c>
      <c r="C23" s="298" t="s">
        <v>354</v>
      </c>
    </row>
    <row r="24" spans="2:3" s="141" customFormat="1" ht="20.25" customHeight="1" x14ac:dyDescent="0.25">
      <c r="B24" s="396" t="s">
        <v>96</v>
      </c>
      <c r="C24" s="397"/>
    </row>
    <row r="25" spans="2:3" s="144" customFormat="1" ht="20.25" customHeight="1" x14ac:dyDescent="0.25">
      <c r="B25" s="142" t="s">
        <v>97</v>
      </c>
      <c r="C25" s="78" t="s">
        <v>355</v>
      </c>
    </row>
    <row r="26" spans="2:3" s="144" customFormat="1" ht="20.25" customHeight="1" x14ac:dyDescent="0.25">
      <c r="B26" s="142" t="s">
        <v>98</v>
      </c>
      <c r="C26" s="78" t="s">
        <v>356</v>
      </c>
    </row>
    <row r="27" spans="2:3" s="144" customFormat="1" ht="20.25" customHeight="1" x14ac:dyDescent="0.25">
      <c r="B27" s="142" t="s">
        <v>99</v>
      </c>
      <c r="C27" s="80" t="s">
        <v>349</v>
      </c>
    </row>
    <row r="28" spans="2:3" s="144" customFormat="1" ht="20.25" customHeight="1" x14ac:dyDescent="0.25">
      <c r="B28" s="142" t="s">
        <v>100</v>
      </c>
      <c r="C28" s="78" t="s">
        <v>324</v>
      </c>
    </row>
    <row r="29" spans="2:3" s="144" customFormat="1" ht="20.25" customHeight="1" x14ac:dyDescent="0.25">
      <c r="B29" s="142" t="s">
        <v>101</v>
      </c>
      <c r="C29" s="78" t="s">
        <v>350</v>
      </c>
    </row>
    <row r="30" spans="2:3" s="141" customFormat="1" ht="20.25" customHeight="1" x14ac:dyDescent="0.25">
      <c r="B30" s="396" t="s">
        <v>102</v>
      </c>
      <c r="C30" s="397"/>
    </row>
    <row r="31" spans="2:3" s="141" customFormat="1" ht="20.25" customHeight="1" x14ac:dyDescent="0.25">
      <c r="B31" s="142" t="s">
        <v>103</v>
      </c>
      <c r="C31" s="78" t="s">
        <v>323</v>
      </c>
    </row>
    <row r="33" spans="2:3" s="146" customFormat="1" ht="25.5" customHeight="1" x14ac:dyDescent="0.25">
      <c r="B33" s="395" t="s">
        <v>180</v>
      </c>
      <c r="C33" s="395"/>
    </row>
  </sheetData>
  <sheetProtection selectLockedCells="1"/>
  <mergeCells count="7">
    <mergeCell ref="B33:C33"/>
    <mergeCell ref="B2:C2"/>
    <mergeCell ref="B5:C5"/>
    <mergeCell ref="B15:C15"/>
    <mergeCell ref="B19:C19"/>
    <mergeCell ref="B24:C24"/>
    <mergeCell ref="B30:C30"/>
  </mergeCells>
  <hyperlinks>
    <hyperlink ref="B33:C33" location="'RK2013'!A1" display="Kembali Ke Halaman Menu Utama"/>
    <hyperlink ref="C13" r:id="rId1" display="smkn2baleendah@yahoo.co.id"/>
    <hyperlink ref="C14" r:id="rId2"/>
  </hyperlinks>
  <pageMargins left="0.7" right="0.7" top="0.75" bottom="0.75" header="0.3" footer="0.3"/>
  <pageSetup paperSize="9" orientation="portrait" horizontalDpi="4294967293" verticalDpi="0"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B1:AC63"/>
  <sheetViews>
    <sheetView showGridLines="0" topLeftCell="S1" workbookViewId="0">
      <pane ySplit="2" topLeftCell="A3" activePane="bottomLeft" state="frozen"/>
      <selection activeCell="B33" sqref="B33:C33"/>
      <selection pane="bottomLeft" activeCell="W2" sqref="W2"/>
    </sheetView>
  </sheetViews>
  <sheetFormatPr defaultRowHeight="15" x14ac:dyDescent="0.25"/>
  <cols>
    <col min="1" max="1" width="9.140625" style="136"/>
    <col min="2" max="2" width="4.140625" style="136" customWidth="1"/>
    <col min="3" max="3" width="30.85546875" style="136" customWidth="1"/>
    <col min="4" max="4" width="9.28515625" style="136" customWidth="1"/>
    <col min="5" max="5" width="11.42578125" style="136" customWidth="1"/>
    <col min="6" max="6" width="10.7109375" style="136" customWidth="1"/>
    <col min="7" max="7" width="11.42578125" style="136" customWidth="1"/>
    <col min="8" max="8" width="16.42578125" style="136" customWidth="1"/>
    <col min="9" max="9" width="9.140625" style="136"/>
    <col min="10" max="10" width="36.7109375" style="136" customWidth="1"/>
    <col min="11" max="11" width="15" style="183" customWidth="1"/>
    <col min="12" max="13" width="26.5703125" style="136" customWidth="1"/>
    <col min="14" max="14" width="9.140625" style="136"/>
    <col min="15" max="15" width="15.42578125" style="136" customWidth="1"/>
    <col min="16" max="16" width="9.140625" style="136"/>
    <col min="17" max="17" width="12.5703125" style="136" customWidth="1"/>
    <col min="18" max="18" width="15.5703125" style="136" customWidth="1"/>
    <col min="19" max="19" width="6.85546875" style="184" customWidth="1"/>
    <col min="20" max="20" width="22.140625" style="136" customWidth="1"/>
    <col min="21" max="21" width="19.140625" style="136" customWidth="1"/>
    <col min="22" max="22" width="36.5703125" style="136" customWidth="1"/>
    <col min="23" max="23" width="15.42578125" style="136" customWidth="1"/>
    <col min="24" max="24" width="13.42578125" style="136" customWidth="1"/>
    <col min="25" max="25" width="14.5703125" style="136" customWidth="1"/>
    <col min="26" max="26" width="14.140625" style="136" customWidth="1"/>
    <col min="27" max="27" width="30.42578125" style="136" customWidth="1"/>
    <col min="28" max="28" width="14.85546875" style="136" customWidth="1"/>
    <col min="29" max="29" width="12.5703125" style="136" customWidth="1"/>
    <col min="30" max="16384" width="9.140625" style="136"/>
  </cols>
  <sheetData>
    <row r="1" spans="2:29" ht="33" customHeight="1" x14ac:dyDescent="0.25">
      <c r="B1" s="398" t="s">
        <v>337</v>
      </c>
      <c r="C1" s="398"/>
      <c r="D1" s="398"/>
      <c r="E1" s="398"/>
    </row>
    <row r="2" spans="2:29" ht="24" x14ac:dyDescent="0.25">
      <c r="B2" s="7" t="s">
        <v>18</v>
      </c>
      <c r="C2" s="8" t="s">
        <v>19</v>
      </c>
      <c r="D2" s="7" t="s">
        <v>27</v>
      </c>
      <c r="E2" s="7" t="s">
        <v>270</v>
      </c>
      <c r="F2" s="7" t="s">
        <v>28</v>
      </c>
      <c r="G2" s="7" t="s">
        <v>29</v>
      </c>
      <c r="H2" s="9" t="s">
        <v>30</v>
      </c>
      <c r="I2" s="7" t="s">
        <v>31</v>
      </c>
      <c r="J2" s="7" t="s">
        <v>32</v>
      </c>
      <c r="K2" s="9" t="s">
        <v>33</v>
      </c>
      <c r="L2" s="7" t="s">
        <v>34</v>
      </c>
      <c r="M2" s="7" t="s">
        <v>35</v>
      </c>
      <c r="N2" s="7" t="s">
        <v>36</v>
      </c>
      <c r="O2" s="7" t="s">
        <v>37</v>
      </c>
      <c r="P2" s="7" t="s">
        <v>38</v>
      </c>
      <c r="Q2" s="7" t="s">
        <v>39</v>
      </c>
      <c r="R2" s="7" t="s">
        <v>175</v>
      </c>
      <c r="S2" s="44" t="s">
        <v>176</v>
      </c>
      <c r="T2" s="7" t="s">
        <v>40</v>
      </c>
      <c r="U2" s="7" t="s">
        <v>41</v>
      </c>
      <c r="V2" s="7" t="s">
        <v>42</v>
      </c>
      <c r="W2" s="7" t="s">
        <v>43</v>
      </c>
      <c r="X2" s="7" t="s">
        <v>178</v>
      </c>
      <c r="Y2" s="7" t="s">
        <v>179</v>
      </c>
      <c r="Z2" s="7" t="s">
        <v>44</v>
      </c>
      <c r="AA2" s="7" t="s">
        <v>45</v>
      </c>
      <c r="AB2" s="7" t="s">
        <v>46</v>
      </c>
      <c r="AC2" s="7" t="s">
        <v>47</v>
      </c>
    </row>
    <row r="3" spans="2:29" ht="15.75" x14ac:dyDescent="0.25">
      <c r="B3" s="281">
        <v>1</v>
      </c>
      <c r="C3" s="368" t="s">
        <v>359</v>
      </c>
      <c r="D3" s="370" t="s">
        <v>397</v>
      </c>
      <c r="E3" s="81">
        <v>9971732683</v>
      </c>
      <c r="F3" s="82" t="s">
        <v>358</v>
      </c>
      <c r="G3" s="84" t="s">
        <v>435</v>
      </c>
      <c r="H3" s="89">
        <v>35736</v>
      </c>
      <c r="I3" s="82" t="s">
        <v>357</v>
      </c>
      <c r="J3" s="84" t="s">
        <v>436</v>
      </c>
      <c r="K3" s="83" t="s">
        <v>437</v>
      </c>
      <c r="L3" s="84" t="s">
        <v>438</v>
      </c>
      <c r="M3" s="84" t="s">
        <v>439</v>
      </c>
      <c r="N3" s="82">
        <v>2013</v>
      </c>
      <c r="O3" s="84" t="s">
        <v>450</v>
      </c>
      <c r="P3" s="84" t="s">
        <v>451</v>
      </c>
      <c r="Q3" s="90" t="s">
        <v>452</v>
      </c>
      <c r="R3" s="90" t="s">
        <v>453</v>
      </c>
      <c r="S3" s="375">
        <v>1</v>
      </c>
      <c r="T3" s="84" t="s">
        <v>440</v>
      </c>
      <c r="U3" s="84" t="s">
        <v>441</v>
      </c>
      <c r="V3" s="84" t="s">
        <v>436</v>
      </c>
      <c r="W3" s="372">
        <v>82117202046</v>
      </c>
      <c r="X3" s="84" t="s">
        <v>442</v>
      </c>
      <c r="Y3" s="84" t="s">
        <v>443</v>
      </c>
      <c r="Z3" s="88"/>
      <c r="AA3" s="88"/>
      <c r="AB3" s="85"/>
      <c r="AC3" s="88"/>
    </row>
    <row r="4" spans="2:29" ht="15.75" x14ac:dyDescent="0.25">
      <c r="B4" s="281">
        <v>2</v>
      </c>
      <c r="C4" s="368" t="s">
        <v>360</v>
      </c>
      <c r="D4" s="370" t="s">
        <v>398</v>
      </c>
      <c r="E4" s="81">
        <v>9981759267</v>
      </c>
      <c r="F4" s="82" t="s">
        <v>358</v>
      </c>
      <c r="G4" s="84" t="s">
        <v>435</v>
      </c>
      <c r="H4" s="90" t="s">
        <v>444</v>
      </c>
      <c r="I4" s="82" t="s">
        <v>357</v>
      </c>
      <c r="J4" s="84" t="s">
        <v>445</v>
      </c>
      <c r="K4" s="83" t="s">
        <v>446</v>
      </c>
      <c r="L4" s="84" t="s">
        <v>447</v>
      </c>
      <c r="M4" s="84" t="s">
        <v>448</v>
      </c>
      <c r="N4" s="82">
        <v>2013</v>
      </c>
      <c r="O4" s="84" t="s">
        <v>449</v>
      </c>
      <c r="P4" s="84" t="s">
        <v>451</v>
      </c>
      <c r="Q4" s="90" t="s">
        <v>452</v>
      </c>
      <c r="R4" s="90" t="s">
        <v>453</v>
      </c>
      <c r="S4" s="375">
        <v>1</v>
      </c>
      <c r="T4" s="84" t="s">
        <v>454</v>
      </c>
      <c r="U4" s="84" t="s">
        <v>455</v>
      </c>
      <c r="V4" s="84" t="s">
        <v>445</v>
      </c>
      <c r="W4" s="372">
        <v>85223157133</v>
      </c>
      <c r="X4" s="84" t="s">
        <v>456</v>
      </c>
      <c r="Y4" s="84" t="s">
        <v>443</v>
      </c>
      <c r="Z4" s="88"/>
      <c r="AA4" s="88"/>
      <c r="AB4" s="85"/>
      <c r="AC4" s="88"/>
    </row>
    <row r="5" spans="2:29" ht="15.75" x14ac:dyDescent="0.25">
      <c r="B5" s="281">
        <v>3</v>
      </c>
      <c r="C5" s="368" t="s">
        <v>361</v>
      </c>
      <c r="D5" s="370" t="s">
        <v>399</v>
      </c>
      <c r="E5" s="81">
        <v>9981710435</v>
      </c>
      <c r="F5" s="82" t="s">
        <v>358</v>
      </c>
      <c r="G5" s="84" t="s">
        <v>435</v>
      </c>
      <c r="H5" s="90" t="s">
        <v>457</v>
      </c>
      <c r="I5" s="82" t="s">
        <v>357</v>
      </c>
      <c r="J5" s="84" t="s">
        <v>458</v>
      </c>
      <c r="K5" s="83" t="s">
        <v>459</v>
      </c>
      <c r="L5" s="84" t="s">
        <v>447</v>
      </c>
      <c r="M5" s="84" t="s">
        <v>448</v>
      </c>
      <c r="N5" s="82">
        <v>2013</v>
      </c>
      <c r="O5" s="84" t="s">
        <v>460</v>
      </c>
      <c r="P5" s="84" t="s">
        <v>451</v>
      </c>
      <c r="Q5" s="90" t="s">
        <v>452</v>
      </c>
      <c r="R5" s="90" t="s">
        <v>453</v>
      </c>
      <c r="S5" s="375">
        <v>1</v>
      </c>
      <c r="T5" s="84" t="s">
        <v>461</v>
      </c>
      <c r="U5" s="84" t="s">
        <v>462</v>
      </c>
      <c r="V5" s="84" t="s">
        <v>458</v>
      </c>
      <c r="W5" s="372">
        <v>81321104368</v>
      </c>
      <c r="X5" s="84" t="s">
        <v>442</v>
      </c>
      <c r="Y5" s="84" t="s">
        <v>463</v>
      </c>
      <c r="Z5" s="88"/>
      <c r="AA5" s="88"/>
      <c r="AB5" s="85"/>
      <c r="AC5" s="88"/>
    </row>
    <row r="6" spans="2:29" ht="15.75" x14ac:dyDescent="0.25">
      <c r="B6" s="281">
        <v>4</v>
      </c>
      <c r="C6" s="368" t="s">
        <v>362</v>
      </c>
      <c r="D6" s="370" t="s">
        <v>400</v>
      </c>
      <c r="E6" s="81">
        <v>9992754773</v>
      </c>
      <c r="F6" s="82" t="s">
        <v>358</v>
      </c>
      <c r="G6" s="84" t="s">
        <v>435</v>
      </c>
      <c r="H6" s="89">
        <v>36276</v>
      </c>
      <c r="I6" s="82" t="s">
        <v>357</v>
      </c>
      <c r="J6" s="84" t="s">
        <v>464</v>
      </c>
      <c r="K6" s="83" t="s">
        <v>465</v>
      </c>
      <c r="L6" s="84" t="s">
        <v>447</v>
      </c>
      <c r="M6" s="84" t="s">
        <v>448</v>
      </c>
      <c r="N6" s="82">
        <v>2013</v>
      </c>
      <c r="O6" s="84" t="s">
        <v>466</v>
      </c>
      <c r="P6" s="84" t="s">
        <v>451</v>
      </c>
      <c r="Q6" s="90" t="s">
        <v>452</v>
      </c>
      <c r="R6" s="90" t="s">
        <v>453</v>
      </c>
      <c r="S6" s="375">
        <v>2</v>
      </c>
      <c r="T6" s="84" t="s">
        <v>467</v>
      </c>
      <c r="U6" s="84" t="s">
        <v>468</v>
      </c>
      <c r="V6" s="84" t="s">
        <v>464</v>
      </c>
      <c r="W6" s="372">
        <v>81386319191</v>
      </c>
      <c r="X6" s="84" t="s">
        <v>456</v>
      </c>
      <c r="Y6" s="84" t="s">
        <v>443</v>
      </c>
      <c r="Z6" s="88"/>
      <c r="AA6" s="88"/>
      <c r="AB6" s="85"/>
      <c r="AC6" s="88"/>
    </row>
    <row r="7" spans="2:29" ht="15.75" x14ac:dyDescent="0.25">
      <c r="B7" s="281">
        <v>5</v>
      </c>
      <c r="C7" s="368" t="s">
        <v>363</v>
      </c>
      <c r="D7" s="370" t="s">
        <v>401</v>
      </c>
      <c r="E7" s="81">
        <v>9981491495</v>
      </c>
      <c r="F7" s="82" t="s">
        <v>358</v>
      </c>
      <c r="G7" s="84" t="s">
        <v>435</v>
      </c>
      <c r="H7" s="89">
        <v>36054</v>
      </c>
      <c r="I7" s="82" t="s">
        <v>357</v>
      </c>
      <c r="J7" s="84" t="s">
        <v>469</v>
      </c>
      <c r="K7" s="83" t="s">
        <v>470</v>
      </c>
      <c r="L7" s="84" t="s">
        <v>471</v>
      </c>
      <c r="M7" s="84" t="s">
        <v>472</v>
      </c>
      <c r="N7" s="82">
        <v>2013</v>
      </c>
      <c r="O7" s="84" t="s">
        <v>473</v>
      </c>
      <c r="P7" s="84" t="s">
        <v>451</v>
      </c>
      <c r="Q7" s="90" t="s">
        <v>452</v>
      </c>
      <c r="R7" s="90" t="s">
        <v>453</v>
      </c>
      <c r="S7" s="375">
        <v>2</v>
      </c>
      <c r="T7" s="84" t="s">
        <v>474</v>
      </c>
      <c r="U7" s="84" t="s">
        <v>475</v>
      </c>
      <c r="V7" s="84" t="s">
        <v>469</v>
      </c>
      <c r="W7" s="372">
        <v>88809859482</v>
      </c>
      <c r="X7" s="84" t="s">
        <v>476</v>
      </c>
      <c r="Y7" s="84" t="s">
        <v>443</v>
      </c>
      <c r="Z7" s="88"/>
      <c r="AA7" s="88"/>
      <c r="AB7" s="85"/>
      <c r="AC7" s="88"/>
    </row>
    <row r="8" spans="2:29" ht="15.75" x14ac:dyDescent="0.25">
      <c r="B8" s="281">
        <v>6</v>
      </c>
      <c r="C8" s="368" t="s">
        <v>364</v>
      </c>
      <c r="D8" s="370" t="s">
        <v>402</v>
      </c>
      <c r="E8" s="81">
        <v>9971732358</v>
      </c>
      <c r="F8" s="82" t="s">
        <v>358</v>
      </c>
      <c r="G8" s="84" t="s">
        <v>435</v>
      </c>
      <c r="H8" s="89">
        <v>35682</v>
      </c>
      <c r="I8" s="82" t="s">
        <v>357</v>
      </c>
      <c r="J8" s="84" t="s">
        <v>477</v>
      </c>
      <c r="K8" s="83" t="s">
        <v>478</v>
      </c>
      <c r="L8" s="84" t="s">
        <v>479</v>
      </c>
      <c r="M8" s="84" t="s">
        <v>480</v>
      </c>
      <c r="N8" s="82">
        <v>2013</v>
      </c>
      <c r="O8" s="84" t="s">
        <v>482</v>
      </c>
      <c r="P8" s="84" t="s">
        <v>451</v>
      </c>
      <c r="Q8" s="90" t="s">
        <v>452</v>
      </c>
      <c r="R8" s="90" t="s">
        <v>453</v>
      </c>
      <c r="S8" s="375">
        <v>3</v>
      </c>
      <c r="T8" s="84" t="s">
        <v>483</v>
      </c>
      <c r="U8" s="84" t="s">
        <v>484</v>
      </c>
      <c r="V8" s="84" t="s">
        <v>477</v>
      </c>
      <c r="W8" s="87"/>
      <c r="X8" s="84" t="s">
        <v>485</v>
      </c>
      <c r="Y8" s="84" t="s">
        <v>443</v>
      </c>
      <c r="Z8" s="88"/>
      <c r="AA8" s="88"/>
      <c r="AB8" s="85"/>
      <c r="AC8" s="88"/>
    </row>
    <row r="9" spans="2:29" ht="15.75" x14ac:dyDescent="0.25">
      <c r="B9" s="281">
        <v>7</v>
      </c>
      <c r="C9" s="368" t="s">
        <v>365</v>
      </c>
      <c r="D9" s="370" t="s">
        <v>403</v>
      </c>
      <c r="E9" s="81"/>
      <c r="F9" s="82" t="s">
        <v>358</v>
      </c>
      <c r="G9" s="84" t="s">
        <v>435</v>
      </c>
      <c r="H9" s="90" t="s">
        <v>486</v>
      </c>
      <c r="I9" s="82" t="s">
        <v>357</v>
      </c>
      <c r="J9" s="84" t="s">
        <v>487</v>
      </c>
      <c r="K9" s="83" t="s">
        <v>488</v>
      </c>
      <c r="L9" s="84" t="s">
        <v>489</v>
      </c>
      <c r="M9" s="84" t="s">
        <v>490</v>
      </c>
      <c r="N9" s="82">
        <v>2013</v>
      </c>
      <c r="O9" s="84" t="s">
        <v>491</v>
      </c>
      <c r="P9" s="84" t="s">
        <v>451</v>
      </c>
      <c r="Q9" s="90" t="s">
        <v>452</v>
      </c>
      <c r="R9" s="90" t="s">
        <v>453</v>
      </c>
      <c r="S9" s="375">
        <v>1</v>
      </c>
      <c r="T9" s="84" t="s">
        <v>492</v>
      </c>
      <c r="U9" s="84" t="s">
        <v>493</v>
      </c>
      <c r="V9" s="84" t="s">
        <v>487</v>
      </c>
      <c r="W9" s="87">
        <v>85315444137</v>
      </c>
      <c r="X9" s="84" t="s">
        <v>456</v>
      </c>
      <c r="Y9" s="84" t="s">
        <v>443</v>
      </c>
      <c r="Z9" s="88"/>
      <c r="AA9" s="88"/>
      <c r="AB9" s="85"/>
      <c r="AC9" s="88"/>
    </row>
    <row r="10" spans="2:29" ht="15.75" x14ac:dyDescent="0.25">
      <c r="B10" s="281">
        <v>8</v>
      </c>
      <c r="C10" s="368" t="s">
        <v>366</v>
      </c>
      <c r="D10" s="370" t="s">
        <v>404</v>
      </c>
      <c r="E10" s="81">
        <v>9971497891</v>
      </c>
      <c r="F10" s="82" t="s">
        <v>358</v>
      </c>
      <c r="G10" s="84" t="s">
        <v>435</v>
      </c>
      <c r="H10" s="90" t="s">
        <v>494</v>
      </c>
      <c r="I10" s="82" t="s">
        <v>357</v>
      </c>
      <c r="J10" s="84" t="s">
        <v>495</v>
      </c>
      <c r="K10" s="83" t="s">
        <v>496</v>
      </c>
      <c r="L10" s="84" t="s">
        <v>471</v>
      </c>
      <c r="M10" s="84" t="s">
        <v>497</v>
      </c>
      <c r="N10" s="82">
        <v>2013</v>
      </c>
      <c r="O10" s="84" t="s">
        <v>498</v>
      </c>
      <c r="P10" s="84" t="s">
        <v>451</v>
      </c>
      <c r="Q10" s="90" t="s">
        <v>452</v>
      </c>
      <c r="R10" s="90" t="s">
        <v>453</v>
      </c>
      <c r="S10" s="375">
        <v>1</v>
      </c>
      <c r="T10" s="84" t="s">
        <v>499</v>
      </c>
      <c r="U10" s="84" t="s">
        <v>500</v>
      </c>
      <c r="V10" s="84" t="s">
        <v>495</v>
      </c>
      <c r="W10" s="87">
        <v>85318267497</v>
      </c>
      <c r="X10" s="84" t="s">
        <v>442</v>
      </c>
      <c r="Y10" s="84" t="s">
        <v>443</v>
      </c>
      <c r="Z10" s="88"/>
      <c r="AA10" s="88"/>
      <c r="AB10" s="85"/>
      <c r="AC10" s="88"/>
    </row>
    <row r="11" spans="2:29" ht="15.75" x14ac:dyDescent="0.25">
      <c r="B11" s="281">
        <v>9</v>
      </c>
      <c r="C11" s="369" t="s">
        <v>367</v>
      </c>
      <c r="D11" s="371" t="s">
        <v>405</v>
      </c>
      <c r="E11" s="81">
        <v>9981734609</v>
      </c>
      <c r="F11" s="82" t="s">
        <v>109</v>
      </c>
      <c r="G11" s="84" t="s">
        <v>435</v>
      </c>
      <c r="H11" s="90" t="s">
        <v>501</v>
      </c>
      <c r="I11" s="82" t="s">
        <v>357</v>
      </c>
      <c r="J11" s="84" t="s">
        <v>502</v>
      </c>
      <c r="K11" s="83" t="s">
        <v>503</v>
      </c>
      <c r="L11" s="84" t="s">
        <v>511</v>
      </c>
      <c r="M11" s="84" t="s">
        <v>504</v>
      </c>
      <c r="N11" s="82">
        <v>2013</v>
      </c>
      <c r="O11" s="84" t="s">
        <v>505</v>
      </c>
      <c r="P11" s="84" t="s">
        <v>451</v>
      </c>
      <c r="Q11" s="90" t="s">
        <v>452</v>
      </c>
      <c r="R11" s="90" t="s">
        <v>453</v>
      </c>
      <c r="S11" s="375">
        <v>4</v>
      </c>
      <c r="T11" s="84" t="s">
        <v>506</v>
      </c>
      <c r="U11" s="84" t="s">
        <v>507</v>
      </c>
      <c r="V11" s="84" t="s">
        <v>502</v>
      </c>
      <c r="W11" s="87">
        <v>87825590170</v>
      </c>
      <c r="X11" s="84" t="s">
        <v>442</v>
      </c>
      <c r="Y11" s="84" t="s">
        <v>443</v>
      </c>
      <c r="Z11" s="88"/>
      <c r="AA11" s="88"/>
      <c r="AB11" s="85"/>
      <c r="AC11" s="88"/>
    </row>
    <row r="12" spans="2:29" ht="15.75" x14ac:dyDescent="0.25">
      <c r="B12" s="281">
        <v>10</v>
      </c>
      <c r="C12" s="368" t="s">
        <v>368</v>
      </c>
      <c r="D12" s="370" t="s">
        <v>406</v>
      </c>
      <c r="E12" s="81">
        <v>9980947504</v>
      </c>
      <c r="F12" s="82" t="s">
        <v>358</v>
      </c>
      <c r="G12" s="84" t="s">
        <v>435</v>
      </c>
      <c r="H12" s="90" t="s">
        <v>508</v>
      </c>
      <c r="I12" s="82" t="s">
        <v>357</v>
      </c>
      <c r="J12" s="84" t="s">
        <v>509</v>
      </c>
      <c r="K12" s="83" t="s">
        <v>510</v>
      </c>
      <c r="L12" s="84" t="s">
        <v>512</v>
      </c>
      <c r="M12" s="84" t="s">
        <v>513</v>
      </c>
      <c r="N12" s="82">
        <v>2013</v>
      </c>
      <c r="O12" s="84" t="s">
        <v>514</v>
      </c>
      <c r="P12" s="84" t="s">
        <v>451</v>
      </c>
      <c r="Q12" s="90" t="s">
        <v>452</v>
      </c>
      <c r="R12" s="90" t="s">
        <v>453</v>
      </c>
      <c r="S12" s="375">
        <v>2</v>
      </c>
      <c r="T12" s="84" t="s">
        <v>515</v>
      </c>
      <c r="U12" s="84"/>
      <c r="V12" s="84" t="s">
        <v>509</v>
      </c>
      <c r="W12" s="87">
        <v>81394762366</v>
      </c>
      <c r="X12" s="84" t="s">
        <v>476</v>
      </c>
      <c r="Y12" s="84" t="s">
        <v>485</v>
      </c>
      <c r="Z12" s="88"/>
      <c r="AA12" s="88"/>
      <c r="AB12" s="85"/>
      <c r="AC12" s="88"/>
    </row>
    <row r="13" spans="2:29" ht="15.75" x14ac:dyDescent="0.25">
      <c r="B13" s="281">
        <v>11</v>
      </c>
      <c r="C13" s="368" t="s">
        <v>369</v>
      </c>
      <c r="D13" s="370" t="s">
        <v>407</v>
      </c>
      <c r="E13" s="81">
        <v>998212355</v>
      </c>
      <c r="F13" s="82" t="s">
        <v>358</v>
      </c>
      <c r="G13" s="84" t="s">
        <v>435</v>
      </c>
      <c r="H13" s="89">
        <v>36056</v>
      </c>
      <c r="I13" s="82" t="s">
        <v>357</v>
      </c>
      <c r="J13" s="84" t="s">
        <v>516</v>
      </c>
      <c r="K13" s="83" t="s">
        <v>517</v>
      </c>
      <c r="L13" s="84" t="s">
        <v>518</v>
      </c>
      <c r="M13" s="84" t="s">
        <v>519</v>
      </c>
      <c r="N13" s="82">
        <v>2013</v>
      </c>
      <c r="O13" s="84" t="s">
        <v>520</v>
      </c>
      <c r="P13" s="84" t="s">
        <v>451</v>
      </c>
      <c r="Q13" s="90" t="s">
        <v>452</v>
      </c>
      <c r="R13" s="90" t="s">
        <v>453</v>
      </c>
      <c r="S13" s="375">
        <v>2</v>
      </c>
      <c r="T13" s="84" t="s">
        <v>521</v>
      </c>
      <c r="U13" s="84" t="s">
        <v>522</v>
      </c>
      <c r="V13" s="84" t="s">
        <v>516</v>
      </c>
      <c r="W13" s="87">
        <v>85721545020</v>
      </c>
      <c r="X13" s="84" t="s">
        <v>442</v>
      </c>
      <c r="Y13" s="84" t="s">
        <v>443</v>
      </c>
      <c r="Z13" s="88"/>
      <c r="AA13" s="88"/>
      <c r="AB13" s="85"/>
      <c r="AC13" s="88"/>
    </row>
    <row r="14" spans="2:29" ht="15.75" x14ac:dyDescent="0.25">
      <c r="B14" s="281">
        <v>12</v>
      </c>
      <c r="C14" s="369" t="s">
        <v>370</v>
      </c>
      <c r="D14" s="371" t="s">
        <v>408</v>
      </c>
      <c r="E14" s="81">
        <v>9991678541</v>
      </c>
      <c r="F14" s="82" t="s">
        <v>109</v>
      </c>
      <c r="G14" s="84" t="s">
        <v>435</v>
      </c>
      <c r="H14" s="90" t="s">
        <v>523</v>
      </c>
      <c r="I14" s="82" t="s">
        <v>357</v>
      </c>
      <c r="J14" s="84" t="s">
        <v>524</v>
      </c>
      <c r="K14" s="83" t="s">
        <v>525</v>
      </c>
      <c r="L14" s="84" t="s">
        <v>479</v>
      </c>
      <c r="M14" s="84" t="s">
        <v>480</v>
      </c>
      <c r="N14" s="82">
        <v>2013</v>
      </c>
      <c r="O14" s="84" t="s">
        <v>526</v>
      </c>
      <c r="P14" s="84" t="s">
        <v>451</v>
      </c>
      <c r="Q14" s="90" t="s">
        <v>452</v>
      </c>
      <c r="R14" s="90" t="s">
        <v>453</v>
      </c>
      <c r="S14" s="375">
        <v>3</v>
      </c>
      <c r="T14" s="84" t="s">
        <v>506</v>
      </c>
      <c r="U14" s="84" t="s">
        <v>527</v>
      </c>
      <c r="V14" s="84" t="s">
        <v>524</v>
      </c>
      <c r="W14" s="87">
        <v>89667695792</v>
      </c>
      <c r="X14" s="84" t="s">
        <v>528</v>
      </c>
      <c r="Y14" s="84" t="s">
        <v>485</v>
      </c>
      <c r="Z14" s="88"/>
      <c r="AA14" s="88"/>
      <c r="AB14" s="85"/>
      <c r="AC14" s="88"/>
    </row>
    <row r="15" spans="2:29" ht="15.75" x14ac:dyDescent="0.25">
      <c r="B15" s="281">
        <v>13</v>
      </c>
      <c r="C15" s="368" t="s">
        <v>371</v>
      </c>
      <c r="D15" s="370" t="s">
        <v>409</v>
      </c>
      <c r="E15" s="81">
        <v>9988617152</v>
      </c>
      <c r="F15" s="82" t="s">
        <v>358</v>
      </c>
      <c r="G15" s="84" t="s">
        <v>435</v>
      </c>
      <c r="H15" s="90" t="s">
        <v>529</v>
      </c>
      <c r="I15" s="82" t="s">
        <v>357</v>
      </c>
      <c r="J15" s="84" t="s">
        <v>530</v>
      </c>
      <c r="K15" s="83" t="s">
        <v>531</v>
      </c>
      <c r="L15" s="84" t="s">
        <v>532</v>
      </c>
      <c r="M15" s="84" t="s">
        <v>533</v>
      </c>
      <c r="N15" s="82">
        <v>2013</v>
      </c>
      <c r="O15" s="84" t="s">
        <v>534</v>
      </c>
      <c r="P15" s="84" t="s">
        <v>451</v>
      </c>
      <c r="Q15" s="90" t="s">
        <v>452</v>
      </c>
      <c r="R15" s="90" t="s">
        <v>453</v>
      </c>
      <c r="S15" s="375">
        <v>1</v>
      </c>
      <c r="T15" s="84" t="s">
        <v>535</v>
      </c>
      <c r="U15" s="84" t="s">
        <v>536</v>
      </c>
      <c r="V15" s="84" t="s">
        <v>530</v>
      </c>
      <c r="W15" s="87">
        <v>81322404851</v>
      </c>
      <c r="X15" s="84" t="s">
        <v>442</v>
      </c>
      <c r="Y15" s="84" t="s">
        <v>443</v>
      </c>
      <c r="Z15" s="88"/>
      <c r="AA15" s="88"/>
      <c r="AB15" s="85"/>
      <c r="AC15" s="88"/>
    </row>
    <row r="16" spans="2:29" ht="15.75" x14ac:dyDescent="0.25">
      <c r="B16" s="281">
        <v>14</v>
      </c>
      <c r="C16" s="368" t="s">
        <v>372</v>
      </c>
      <c r="D16" s="370" t="s">
        <v>410</v>
      </c>
      <c r="E16" s="81">
        <v>9990288496</v>
      </c>
      <c r="F16" s="82" t="s">
        <v>358</v>
      </c>
      <c r="G16" s="84" t="s">
        <v>435</v>
      </c>
      <c r="H16" s="89">
        <v>36105</v>
      </c>
      <c r="I16" s="82" t="s">
        <v>357</v>
      </c>
      <c r="J16" s="84" t="s">
        <v>540</v>
      </c>
      <c r="K16" s="83" t="s">
        <v>538</v>
      </c>
      <c r="L16" s="84" t="s">
        <v>539</v>
      </c>
      <c r="M16" s="84" t="s">
        <v>537</v>
      </c>
      <c r="N16" s="82">
        <v>2013</v>
      </c>
      <c r="O16" s="84" t="s">
        <v>541</v>
      </c>
      <c r="P16" s="84" t="s">
        <v>451</v>
      </c>
      <c r="Q16" s="90" t="s">
        <v>452</v>
      </c>
      <c r="R16" s="90" t="s">
        <v>453</v>
      </c>
      <c r="S16" s="375">
        <v>2</v>
      </c>
      <c r="T16" s="84" t="s">
        <v>542</v>
      </c>
      <c r="U16" s="84" t="s">
        <v>543</v>
      </c>
      <c r="V16" s="84" t="s">
        <v>540</v>
      </c>
      <c r="W16" s="87"/>
      <c r="X16" s="84" t="s">
        <v>456</v>
      </c>
      <c r="Y16" s="84" t="s">
        <v>443</v>
      </c>
      <c r="Z16" s="88"/>
      <c r="AA16" s="88"/>
      <c r="AB16" s="85"/>
      <c r="AC16" s="88"/>
    </row>
    <row r="17" spans="2:29" ht="15.75" x14ac:dyDescent="0.25">
      <c r="B17" s="281">
        <v>15</v>
      </c>
      <c r="C17" s="368" t="s">
        <v>373</v>
      </c>
      <c r="D17" s="370" t="s">
        <v>411</v>
      </c>
      <c r="E17" s="81">
        <v>9981759484</v>
      </c>
      <c r="F17" s="82" t="s">
        <v>358</v>
      </c>
      <c r="G17" s="84" t="s">
        <v>435</v>
      </c>
      <c r="H17" s="90" t="s">
        <v>544</v>
      </c>
      <c r="I17" s="82" t="s">
        <v>357</v>
      </c>
      <c r="J17" s="84" t="s">
        <v>545</v>
      </c>
      <c r="K17" s="83" t="s">
        <v>546</v>
      </c>
      <c r="L17" s="84" t="s">
        <v>547</v>
      </c>
      <c r="M17" s="84" t="s">
        <v>548</v>
      </c>
      <c r="N17" s="82">
        <v>2013</v>
      </c>
      <c r="O17" s="84" t="s">
        <v>549</v>
      </c>
      <c r="P17" s="84" t="s">
        <v>451</v>
      </c>
      <c r="Q17" s="90" t="s">
        <v>452</v>
      </c>
      <c r="R17" s="90" t="s">
        <v>453</v>
      </c>
      <c r="S17" s="375">
        <v>1</v>
      </c>
      <c r="T17" s="84" t="s">
        <v>550</v>
      </c>
      <c r="U17" s="84" t="s">
        <v>551</v>
      </c>
      <c r="V17" s="84" t="s">
        <v>545</v>
      </c>
      <c r="W17" s="87">
        <v>81802052956</v>
      </c>
      <c r="X17" s="84" t="s">
        <v>476</v>
      </c>
      <c r="Y17" s="84" t="s">
        <v>443</v>
      </c>
      <c r="Z17" s="88"/>
      <c r="AA17" s="88"/>
      <c r="AB17" s="85"/>
      <c r="AC17" s="88"/>
    </row>
    <row r="18" spans="2:29" ht="15.75" x14ac:dyDescent="0.25">
      <c r="B18" s="281">
        <v>16</v>
      </c>
      <c r="C18" s="368" t="s">
        <v>374</v>
      </c>
      <c r="D18" s="370" t="s">
        <v>412</v>
      </c>
      <c r="E18" s="86">
        <v>9981719972</v>
      </c>
      <c r="F18" s="82" t="s">
        <v>358</v>
      </c>
      <c r="G18" s="84" t="s">
        <v>435</v>
      </c>
      <c r="H18" s="90" t="s">
        <v>552</v>
      </c>
      <c r="I18" s="82" t="s">
        <v>357</v>
      </c>
      <c r="J18" s="84" t="s">
        <v>553</v>
      </c>
      <c r="K18" s="83" t="s">
        <v>554</v>
      </c>
      <c r="L18" s="84" t="s">
        <v>555</v>
      </c>
      <c r="M18" s="84" t="s">
        <v>556</v>
      </c>
      <c r="N18" s="82">
        <v>2013</v>
      </c>
      <c r="O18" s="84" t="s">
        <v>557</v>
      </c>
      <c r="P18" s="84" t="s">
        <v>451</v>
      </c>
      <c r="Q18" s="90" t="s">
        <v>452</v>
      </c>
      <c r="R18" s="90" t="s">
        <v>453</v>
      </c>
      <c r="S18" s="376">
        <v>1</v>
      </c>
      <c r="T18" s="84" t="s">
        <v>558</v>
      </c>
      <c r="U18" s="84" t="s">
        <v>559</v>
      </c>
      <c r="V18" s="84" t="s">
        <v>553</v>
      </c>
      <c r="W18" s="84">
        <v>8981968212</v>
      </c>
      <c r="X18" s="84" t="s">
        <v>442</v>
      </c>
      <c r="Y18" s="84" t="s">
        <v>443</v>
      </c>
      <c r="Z18" s="85"/>
      <c r="AA18" s="85"/>
      <c r="AB18" s="85"/>
      <c r="AC18" s="85"/>
    </row>
    <row r="19" spans="2:29" ht="15.75" x14ac:dyDescent="0.25">
      <c r="B19" s="281">
        <v>17</v>
      </c>
      <c r="C19" s="368" t="s">
        <v>375</v>
      </c>
      <c r="D19" s="370" t="s">
        <v>413</v>
      </c>
      <c r="E19" s="86">
        <v>9981739430</v>
      </c>
      <c r="F19" s="82" t="s">
        <v>358</v>
      </c>
      <c r="G19" s="84" t="s">
        <v>435</v>
      </c>
      <c r="H19" s="90" t="s">
        <v>560</v>
      </c>
      <c r="I19" s="82" t="s">
        <v>357</v>
      </c>
      <c r="J19" s="84" t="s">
        <v>561</v>
      </c>
      <c r="K19" s="83" t="s">
        <v>562</v>
      </c>
      <c r="L19" s="84" t="s">
        <v>438</v>
      </c>
      <c r="M19" s="84" t="s">
        <v>563</v>
      </c>
      <c r="N19" s="82">
        <v>2013</v>
      </c>
      <c r="O19" s="84" t="s">
        <v>491</v>
      </c>
      <c r="P19" s="84" t="s">
        <v>451</v>
      </c>
      <c r="Q19" s="90" t="s">
        <v>452</v>
      </c>
      <c r="R19" s="90" t="s">
        <v>453</v>
      </c>
      <c r="S19" s="376">
        <v>1</v>
      </c>
      <c r="T19" s="84" t="s">
        <v>564</v>
      </c>
      <c r="U19" s="84" t="s">
        <v>565</v>
      </c>
      <c r="V19" s="84" t="s">
        <v>561</v>
      </c>
      <c r="W19" s="84">
        <v>81321982214</v>
      </c>
      <c r="X19" s="84" t="s">
        <v>566</v>
      </c>
      <c r="Y19" s="84" t="s">
        <v>443</v>
      </c>
      <c r="Z19" s="88"/>
      <c r="AA19" s="88"/>
      <c r="AB19" s="88"/>
      <c r="AC19" s="88"/>
    </row>
    <row r="20" spans="2:29" ht="15.75" x14ac:dyDescent="0.25">
      <c r="B20" s="281">
        <v>18</v>
      </c>
      <c r="C20" s="368" t="s">
        <v>376</v>
      </c>
      <c r="D20" s="370" t="s">
        <v>414</v>
      </c>
      <c r="E20" s="86">
        <v>9981739434</v>
      </c>
      <c r="F20" s="82" t="s">
        <v>358</v>
      </c>
      <c r="G20" s="84" t="s">
        <v>435</v>
      </c>
      <c r="H20" s="90" t="s">
        <v>444</v>
      </c>
      <c r="I20" s="82" t="s">
        <v>357</v>
      </c>
      <c r="J20" s="84" t="s">
        <v>567</v>
      </c>
      <c r="K20" s="83" t="s">
        <v>568</v>
      </c>
      <c r="L20" s="84" t="s">
        <v>447</v>
      </c>
      <c r="M20" s="84" t="s">
        <v>569</v>
      </c>
      <c r="N20" s="82">
        <v>2013</v>
      </c>
      <c r="O20" s="84" t="s">
        <v>570</v>
      </c>
      <c r="P20" s="84" t="s">
        <v>451</v>
      </c>
      <c r="Q20" s="90" t="s">
        <v>452</v>
      </c>
      <c r="R20" s="90" t="s">
        <v>453</v>
      </c>
      <c r="S20" s="376">
        <v>1</v>
      </c>
      <c r="T20" s="84" t="s">
        <v>571</v>
      </c>
      <c r="U20" s="84" t="s">
        <v>572</v>
      </c>
      <c r="V20" s="84" t="s">
        <v>567</v>
      </c>
      <c r="W20" s="84">
        <v>81322286689</v>
      </c>
      <c r="X20" s="84" t="s">
        <v>566</v>
      </c>
      <c r="Y20" s="84" t="s">
        <v>443</v>
      </c>
      <c r="Z20" s="85"/>
      <c r="AA20" s="85"/>
      <c r="AB20" s="85"/>
      <c r="AC20" s="85"/>
    </row>
    <row r="21" spans="2:29" ht="15.75" x14ac:dyDescent="0.25">
      <c r="B21" s="281">
        <v>19</v>
      </c>
      <c r="C21" s="369" t="s">
        <v>377</v>
      </c>
      <c r="D21" s="371" t="s">
        <v>415</v>
      </c>
      <c r="E21" s="86">
        <v>9990269206</v>
      </c>
      <c r="F21" s="82" t="s">
        <v>109</v>
      </c>
      <c r="G21" s="84" t="s">
        <v>435</v>
      </c>
      <c r="H21" s="90" t="s">
        <v>573</v>
      </c>
      <c r="I21" s="82" t="s">
        <v>577</v>
      </c>
      <c r="J21" s="84" t="s">
        <v>574</v>
      </c>
      <c r="K21" s="83" t="s">
        <v>575</v>
      </c>
      <c r="L21" s="84" t="s">
        <v>555</v>
      </c>
      <c r="M21" s="84" t="s">
        <v>556</v>
      </c>
      <c r="N21" s="82">
        <v>2013</v>
      </c>
      <c r="O21" s="84" t="s">
        <v>576</v>
      </c>
      <c r="P21" s="84" t="s">
        <v>451</v>
      </c>
      <c r="Q21" s="90" t="s">
        <v>452</v>
      </c>
      <c r="R21" s="90" t="s">
        <v>453</v>
      </c>
      <c r="S21" s="376">
        <v>1</v>
      </c>
      <c r="T21" s="84" t="s">
        <v>578</v>
      </c>
      <c r="U21" s="84" t="s">
        <v>579</v>
      </c>
      <c r="V21" s="84" t="s">
        <v>574</v>
      </c>
      <c r="W21" s="84">
        <v>81394244682</v>
      </c>
      <c r="X21" s="84" t="s">
        <v>456</v>
      </c>
      <c r="Y21" s="84" t="s">
        <v>443</v>
      </c>
      <c r="Z21" s="85"/>
      <c r="AA21" s="85"/>
      <c r="AB21" s="85"/>
      <c r="AC21" s="85"/>
    </row>
    <row r="22" spans="2:29" ht="15.75" x14ac:dyDescent="0.25">
      <c r="B22" s="281">
        <v>20</v>
      </c>
      <c r="C22" s="368" t="s">
        <v>378</v>
      </c>
      <c r="D22" s="370" t="s">
        <v>416</v>
      </c>
      <c r="E22" s="86">
        <v>99817197</v>
      </c>
      <c r="F22" s="82" t="s">
        <v>358</v>
      </c>
      <c r="G22" s="84" t="s">
        <v>435</v>
      </c>
      <c r="H22" s="90" t="s">
        <v>580</v>
      </c>
      <c r="I22" s="82" t="s">
        <v>357</v>
      </c>
      <c r="J22" s="84" t="s">
        <v>581</v>
      </c>
      <c r="K22" s="83" t="s">
        <v>582</v>
      </c>
      <c r="L22" s="84" t="s">
        <v>555</v>
      </c>
      <c r="M22" s="84" t="s">
        <v>556</v>
      </c>
      <c r="N22" s="82">
        <v>2013</v>
      </c>
      <c r="O22" s="84" t="s">
        <v>583</v>
      </c>
      <c r="P22" s="84" t="s">
        <v>451</v>
      </c>
      <c r="Q22" s="90" t="s">
        <v>452</v>
      </c>
      <c r="R22" s="90" t="s">
        <v>453</v>
      </c>
      <c r="S22" s="376">
        <v>1</v>
      </c>
      <c r="T22" s="84" t="s">
        <v>584</v>
      </c>
      <c r="U22" s="84" t="s">
        <v>585</v>
      </c>
      <c r="V22" s="84" t="s">
        <v>581</v>
      </c>
      <c r="W22" s="84">
        <v>81320118546</v>
      </c>
      <c r="X22" s="84" t="s">
        <v>456</v>
      </c>
      <c r="Y22" s="84" t="s">
        <v>443</v>
      </c>
      <c r="Z22" s="85"/>
      <c r="AA22" s="85"/>
      <c r="AB22" s="85"/>
      <c r="AC22" s="85"/>
    </row>
    <row r="23" spans="2:29" ht="15.75" x14ac:dyDescent="0.25">
      <c r="B23" s="281">
        <v>21</v>
      </c>
      <c r="C23" s="369" t="s">
        <v>379</v>
      </c>
      <c r="D23" s="371" t="s">
        <v>417</v>
      </c>
      <c r="E23" s="86">
        <v>9978715335</v>
      </c>
      <c r="F23" s="82" t="s">
        <v>109</v>
      </c>
      <c r="G23" s="84" t="s">
        <v>435</v>
      </c>
      <c r="H23" s="373" t="s">
        <v>586</v>
      </c>
      <c r="I23" s="82" t="s">
        <v>357</v>
      </c>
      <c r="J23" s="84" t="s">
        <v>587</v>
      </c>
      <c r="K23" s="83" t="s">
        <v>588</v>
      </c>
      <c r="L23" s="84" t="s">
        <v>589</v>
      </c>
      <c r="M23" s="84" t="s">
        <v>596</v>
      </c>
      <c r="N23" s="82">
        <v>2013</v>
      </c>
      <c r="O23" s="84" t="s">
        <v>590</v>
      </c>
      <c r="P23" s="84" t="s">
        <v>451</v>
      </c>
      <c r="Q23" s="90" t="s">
        <v>452</v>
      </c>
      <c r="R23" s="90" t="s">
        <v>453</v>
      </c>
      <c r="S23" s="376">
        <v>5</v>
      </c>
      <c r="T23" s="84" t="s">
        <v>591</v>
      </c>
      <c r="U23" s="84" t="s">
        <v>592</v>
      </c>
      <c r="V23" s="84" t="s">
        <v>587</v>
      </c>
      <c r="W23" s="84"/>
      <c r="X23" s="84" t="s">
        <v>476</v>
      </c>
      <c r="Y23" s="84" t="s">
        <v>443</v>
      </c>
      <c r="Z23" s="85"/>
      <c r="AA23" s="85"/>
      <c r="AB23" s="85"/>
      <c r="AC23" s="85"/>
    </row>
    <row r="24" spans="2:29" ht="15.75" x14ac:dyDescent="0.25">
      <c r="B24" s="281">
        <v>22</v>
      </c>
      <c r="C24" s="368" t="s">
        <v>380</v>
      </c>
      <c r="D24" s="370" t="s">
        <v>418</v>
      </c>
      <c r="E24" s="86">
        <v>998741628</v>
      </c>
      <c r="F24" s="82" t="s">
        <v>358</v>
      </c>
      <c r="G24" s="84" t="s">
        <v>435</v>
      </c>
      <c r="H24" s="373" t="s">
        <v>593</v>
      </c>
      <c r="I24" s="82" t="s">
        <v>357</v>
      </c>
      <c r="J24" s="84" t="s">
        <v>594</v>
      </c>
      <c r="K24" s="83"/>
      <c r="L24" s="84" t="s">
        <v>595</v>
      </c>
      <c r="M24" s="84" t="s">
        <v>597</v>
      </c>
      <c r="N24" s="82">
        <v>2013</v>
      </c>
      <c r="O24" s="84" t="s">
        <v>598</v>
      </c>
      <c r="P24" s="84" t="s">
        <v>451</v>
      </c>
      <c r="Q24" s="90" t="s">
        <v>452</v>
      </c>
      <c r="R24" s="90" t="s">
        <v>453</v>
      </c>
      <c r="S24" s="376">
        <v>1</v>
      </c>
      <c r="T24" s="84" t="s">
        <v>599</v>
      </c>
      <c r="U24" s="84" t="s">
        <v>600</v>
      </c>
      <c r="V24" s="84" t="s">
        <v>594</v>
      </c>
      <c r="W24" s="84">
        <v>88809089100</v>
      </c>
      <c r="X24" s="84" t="s">
        <v>442</v>
      </c>
      <c r="Y24" s="84" t="s">
        <v>443</v>
      </c>
      <c r="Z24" s="85"/>
      <c r="AA24" s="85"/>
      <c r="AB24" s="85"/>
      <c r="AC24" s="85"/>
    </row>
    <row r="25" spans="2:29" ht="15.75" x14ac:dyDescent="0.25">
      <c r="B25" s="281">
        <v>23</v>
      </c>
      <c r="C25" s="368" t="s">
        <v>381</v>
      </c>
      <c r="D25" s="370" t="s">
        <v>419</v>
      </c>
      <c r="E25" s="86">
        <v>9973324357</v>
      </c>
      <c r="F25" s="82" t="s">
        <v>358</v>
      </c>
      <c r="G25" s="84" t="s">
        <v>601</v>
      </c>
      <c r="H25" s="373" t="s">
        <v>602</v>
      </c>
      <c r="I25" s="82" t="s">
        <v>357</v>
      </c>
      <c r="J25" s="84" t="s">
        <v>603</v>
      </c>
      <c r="K25" s="83" t="s">
        <v>604</v>
      </c>
      <c r="L25" s="84" t="s">
        <v>605</v>
      </c>
      <c r="M25" s="84" t="s">
        <v>606</v>
      </c>
      <c r="N25" s="82">
        <v>2013</v>
      </c>
      <c r="O25" s="84" t="s">
        <v>481</v>
      </c>
      <c r="P25" s="84" t="s">
        <v>451</v>
      </c>
      <c r="Q25" s="90" t="s">
        <v>452</v>
      </c>
      <c r="R25" s="90" t="s">
        <v>453</v>
      </c>
      <c r="S25" s="376">
        <v>1</v>
      </c>
      <c r="T25" s="84" t="s">
        <v>607</v>
      </c>
      <c r="U25" s="84" t="s">
        <v>608</v>
      </c>
      <c r="V25" s="84" t="s">
        <v>603</v>
      </c>
      <c r="W25" s="84">
        <v>8561696017</v>
      </c>
      <c r="X25" s="84" t="s">
        <v>456</v>
      </c>
      <c r="Y25" s="84" t="s">
        <v>443</v>
      </c>
      <c r="Z25" s="85"/>
      <c r="AA25" s="85"/>
      <c r="AB25" s="85"/>
      <c r="AC25" s="85"/>
    </row>
    <row r="26" spans="2:29" ht="15.75" x14ac:dyDescent="0.25">
      <c r="B26" s="281">
        <v>24</v>
      </c>
      <c r="C26" s="368" t="s">
        <v>382</v>
      </c>
      <c r="D26" s="370" t="s">
        <v>420</v>
      </c>
      <c r="E26" s="86">
        <v>9978773023</v>
      </c>
      <c r="F26" s="82" t="s">
        <v>358</v>
      </c>
      <c r="G26" s="84" t="s">
        <v>435</v>
      </c>
      <c r="H26" s="373" t="s">
        <v>609</v>
      </c>
      <c r="I26" s="82" t="s">
        <v>357</v>
      </c>
      <c r="J26" s="84" t="s">
        <v>610</v>
      </c>
      <c r="K26" s="83" t="s">
        <v>611</v>
      </c>
      <c r="L26" s="84" t="s">
        <v>512</v>
      </c>
      <c r="M26" s="84" t="s">
        <v>612</v>
      </c>
      <c r="N26" s="82">
        <v>2013</v>
      </c>
      <c r="O26" s="84" t="s">
        <v>491</v>
      </c>
      <c r="P26" s="84" t="s">
        <v>451</v>
      </c>
      <c r="Q26" s="90" t="s">
        <v>452</v>
      </c>
      <c r="R26" s="90" t="s">
        <v>453</v>
      </c>
      <c r="S26" s="376">
        <v>3</v>
      </c>
      <c r="T26" s="84" t="s">
        <v>613</v>
      </c>
      <c r="U26" s="84" t="s">
        <v>614</v>
      </c>
      <c r="V26" s="84" t="s">
        <v>610</v>
      </c>
      <c r="W26" s="84">
        <v>85294738347</v>
      </c>
      <c r="X26" s="84" t="s">
        <v>528</v>
      </c>
      <c r="Y26" s="84" t="s">
        <v>528</v>
      </c>
      <c r="Z26" s="85"/>
      <c r="AA26" s="85"/>
      <c r="AB26" s="85"/>
      <c r="AC26" s="85"/>
    </row>
    <row r="27" spans="2:29" ht="15.75" x14ac:dyDescent="0.25">
      <c r="B27" s="281">
        <v>25</v>
      </c>
      <c r="C27" s="368" t="s">
        <v>383</v>
      </c>
      <c r="D27" s="370" t="s">
        <v>421</v>
      </c>
      <c r="E27" s="86">
        <v>9988551441</v>
      </c>
      <c r="F27" s="82" t="s">
        <v>358</v>
      </c>
      <c r="G27" s="84" t="s">
        <v>435</v>
      </c>
      <c r="H27" s="373" t="s">
        <v>615</v>
      </c>
      <c r="I27" s="82" t="s">
        <v>357</v>
      </c>
      <c r="J27" s="84" t="s">
        <v>616</v>
      </c>
      <c r="K27" s="83" t="s">
        <v>617</v>
      </c>
      <c r="L27" s="84" t="s">
        <v>618</v>
      </c>
      <c r="M27" s="84" t="s">
        <v>619</v>
      </c>
      <c r="N27" s="82">
        <v>2013</v>
      </c>
      <c r="O27" s="84" t="s">
        <v>620</v>
      </c>
      <c r="P27" s="84" t="s">
        <v>451</v>
      </c>
      <c r="Q27" s="90" t="s">
        <v>452</v>
      </c>
      <c r="R27" s="90" t="s">
        <v>453</v>
      </c>
      <c r="S27" s="376">
        <v>2</v>
      </c>
      <c r="T27" s="84"/>
      <c r="U27" s="84" t="s">
        <v>621</v>
      </c>
      <c r="V27" s="84" t="s">
        <v>616</v>
      </c>
      <c r="W27" s="84">
        <v>81214235645</v>
      </c>
      <c r="X27" s="84" t="s">
        <v>485</v>
      </c>
      <c r="Y27" s="84" t="s">
        <v>485</v>
      </c>
      <c r="Z27" s="85"/>
      <c r="AA27" s="85"/>
      <c r="AB27" s="85"/>
      <c r="AC27" s="85"/>
    </row>
    <row r="28" spans="2:29" ht="15.75" x14ac:dyDescent="0.25">
      <c r="B28" s="281">
        <v>26</v>
      </c>
      <c r="C28" s="368" t="s">
        <v>384</v>
      </c>
      <c r="D28" s="370" t="s">
        <v>422</v>
      </c>
      <c r="E28" s="86">
        <v>9981775130</v>
      </c>
      <c r="F28" s="82" t="s">
        <v>358</v>
      </c>
      <c r="G28" s="84" t="s">
        <v>435</v>
      </c>
      <c r="H28" s="373" t="s">
        <v>622</v>
      </c>
      <c r="I28" s="82" t="s">
        <v>357</v>
      </c>
      <c r="J28" s="84" t="s">
        <v>623</v>
      </c>
      <c r="K28" s="83"/>
      <c r="L28" s="84" t="s">
        <v>555</v>
      </c>
      <c r="M28" s="84" t="s">
        <v>556</v>
      </c>
      <c r="N28" s="82">
        <v>2013</v>
      </c>
      <c r="O28" s="84" t="s">
        <v>624</v>
      </c>
      <c r="P28" s="84" t="s">
        <v>451</v>
      </c>
      <c r="Q28" s="90" t="s">
        <v>452</v>
      </c>
      <c r="R28" s="90" t="s">
        <v>453</v>
      </c>
      <c r="S28" s="376">
        <v>1</v>
      </c>
      <c r="T28" s="84" t="s">
        <v>625</v>
      </c>
      <c r="U28" s="84" t="s">
        <v>626</v>
      </c>
      <c r="V28" s="84" t="s">
        <v>623</v>
      </c>
      <c r="W28" s="84">
        <v>87722777741</v>
      </c>
      <c r="X28" s="84" t="s">
        <v>442</v>
      </c>
      <c r="Y28" s="84" t="s">
        <v>443</v>
      </c>
      <c r="Z28" s="88"/>
      <c r="AA28" s="88"/>
      <c r="AB28" s="85"/>
      <c r="AC28" s="88"/>
    </row>
    <row r="29" spans="2:29" ht="15.75" x14ac:dyDescent="0.25">
      <c r="B29" s="281">
        <v>27</v>
      </c>
      <c r="C29" s="368" t="s">
        <v>385</v>
      </c>
      <c r="D29" s="370" t="s">
        <v>423</v>
      </c>
      <c r="E29" s="86"/>
      <c r="F29" s="82" t="s">
        <v>358</v>
      </c>
      <c r="G29" s="84" t="s">
        <v>435</v>
      </c>
      <c r="H29" s="373" t="s">
        <v>627</v>
      </c>
      <c r="I29" s="82" t="s">
        <v>357</v>
      </c>
      <c r="J29" s="84" t="s">
        <v>628</v>
      </c>
      <c r="K29" s="83" t="s">
        <v>629</v>
      </c>
      <c r="L29" s="84" t="s">
        <v>630</v>
      </c>
      <c r="M29" s="84" t="s">
        <v>606</v>
      </c>
      <c r="N29" s="82">
        <v>2013</v>
      </c>
      <c r="O29" s="84" t="s">
        <v>631</v>
      </c>
      <c r="P29" s="84" t="s">
        <v>451</v>
      </c>
      <c r="Q29" s="90" t="s">
        <v>452</v>
      </c>
      <c r="R29" s="90" t="s">
        <v>453</v>
      </c>
      <c r="S29" s="376">
        <v>1</v>
      </c>
      <c r="T29" s="84" t="s">
        <v>632</v>
      </c>
      <c r="U29" s="84" t="s">
        <v>633</v>
      </c>
      <c r="V29" s="84" t="s">
        <v>628</v>
      </c>
      <c r="W29" s="84">
        <v>85722003312</v>
      </c>
      <c r="X29" s="84" t="s">
        <v>442</v>
      </c>
      <c r="Y29" s="84" t="s">
        <v>485</v>
      </c>
      <c r="Z29" s="85"/>
      <c r="AA29" s="85"/>
      <c r="AB29" s="85"/>
      <c r="AC29" s="85"/>
    </row>
    <row r="30" spans="2:29" ht="15.75" x14ac:dyDescent="0.25">
      <c r="B30" s="281">
        <v>28</v>
      </c>
      <c r="C30" s="368" t="s">
        <v>386</v>
      </c>
      <c r="D30" s="370" t="s">
        <v>424</v>
      </c>
      <c r="E30" s="86">
        <v>99711841776</v>
      </c>
      <c r="F30" s="82" t="s">
        <v>358</v>
      </c>
      <c r="G30" s="84" t="s">
        <v>435</v>
      </c>
      <c r="H30" s="373" t="s">
        <v>634</v>
      </c>
      <c r="I30" s="82" t="s">
        <v>357</v>
      </c>
      <c r="J30" s="84" t="s">
        <v>635</v>
      </c>
      <c r="K30" s="83" t="s">
        <v>636</v>
      </c>
      <c r="L30" s="84" t="s">
        <v>438</v>
      </c>
      <c r="M30" s="84" t="s">
        <v>637</v>
      </c>
      <c r="N30" s="82">
        <v>2013</v>
      </c>
      <c r="O30" s="84" t="s">
        <v>638</v>
      </c>
      <c r="P30" s="84" t="s">
        <v>451</v>
      </c>
      <c r="Q30" s="90" t="s">
        <v>452</v>
      </c>
      <c r="R30" s="90" t="s">
        <v>453</v>
      </c>
      <c r="S30" s="376">
        <v>1</v>
      </c>
      <c r="T30" s="84" t="s">
        <v>639</v>
      </c>
      <c r="U30" s="84" t="s">
        <v>640</v>
      </c>
      <c r="V30" s="84" t="s">
        <v>635</v>
      </c>
      <c r="W30" s="84">
        <v>82216136210</v>
      </c>
      <c r="X30" s="84" t="s">
        <v>641</v>
      </c>
      <c r="Y30" s="84" t="s">
        <v>443</v>
      </c>
      <c r="Z30" s="85"/>
      <c r="AA30" s="85"/>
      <c r="AB30" s="85"/>
      <c r="AC30" s="85"/>
    </row>
    <row r="31" spans="2:29" ht="15.75" x14ac:dyDescent="0.25">
      <c r="B31" s="281">
        <v>29</v>
      </c>
      <c r="C31" s="368" t="s">
        <v>387</v>
      </c>
      <c r="D31" s="370" t="s">
        <v>425</v>
      </c>
      <c r="E31" s="86">
        <v>9981779900</v>
      </c>
      <c r="F31" s="82" t="s">
        <v>358</v>
      </c>
      <c r="G31" s="84" t="s">
        <v>435</v>
      </c>
      <c r="H31" s="374">
        <v>36256</v>
      </c>
      <c r="I31" s="82" t="s">
        <v>357</v>
      </c>
      <c r="J31" s="84" t="s">
        <v>642</v>
      </c>
      <c r="K31" s="83" t="s">
        <v>643</v>
      </c>
      <c r="L31" s="84" t="s">
        <v>447</v>
      </c>
      <c r="M31" s="84" t="s">
        <v>644</v>
      </c>
      <c r="N31" s="82">
        <v>2013</v>
      </c>
      <c r="O31" s="84" t="s">
        <v>645</v>
      </c>
      <c r="P31" s="84" t="s">
        <v>451</v>
      </c>
      <c r="Q31" s="90" t="s">
        <v>452</v>
      </c>
      <c r="R31" s="90" t="s">
        <v>453</v>
      </c>
      <c r="S31" s="376">
        <v>1</v>
      </c>
      <c r="T31" s="84" t="s">
        <v>646</v>
      </c>
      <c r="U31" s="84" t="s">
        <v>647</v>
      </c>
      <c r="V31" s="84" t="s">
        <v>642</v>
      </c>
      <c r="W31" s="84">
        <v>81220145900</v>
      </c>
      <c r="X31" s="84" t="s">
        <v>442</v>
      </c>
      <c r="Y31" s="84" t="s">
        <v>443</v>
      </c>
      <c r="Z31" s="85"/>
      <c r="AA31" s="85"/>
      <c r="AB31" s="85"/>
      <c r="AC31" s="85"/>
    </row>
    <row r="32" spans="2:29" ht="15.75" x14ac:dyDescent="0.25">
      <c r="B32" s="281">
        <v>30</v>
      </c>
      <c r="C32" s="368" t="s">
        <v>388</v>
      </c>
      <c r="D32" s="370" t="s">
        <v>426</v>
      </c>
      <c r="E32" s="86">
        <v>99811697776</v>
      </c>
      <c r="F32" s="82" t="s">
        <v>358</v>
      </c>
      <c r="G32" s="84" t="s">
        <v>435</v>
      </c>
      <c r="H32" s="373" t="s">
        <v>648</v>
      </c>
      <c r="I32" s="82" t="s">
        <v>357</v>
      </c>
      <c r="J32" s="84" t="s">
        <v>653</v>
      </c>
      <c r="K32" s="83" t="s">
        <v>649</v>
      </c>
      <c r="L32" s="84" t="s">
        <v>518</v>
      </c>
      <c r="M32" s="84" t="s">
        <v>519</v>
      </c>
      <c r="N32" s="82">
        <v>2013</v>
      </c>
      <c r="O32" s="84" t="s">
        <v>650</v>
      </c>
      <c r="P32" s="84" t="s">
        <v>451</v>
      </c>
      <c r="Q32" s="90" t="s">
        <v>452</v>
      </c>
      <c r="R32" s="90" t="s">
        <v>453</v>
      </c>
      <c r="S32" s="376">
        <v>1</v>
      </c>
      <c r="T32" s="84" t="s">
        <v>651</v>
      </c>
      <c r="U32" s="84" t="s">
        <v>652</v>
      </c>
      <c r="V32" s="84" t="s">
        <v>653</v>
      </c>
      <c r="W32" s="84">
        <v>85793037609</v>
      </c>
      <c r="X32" s="84" t="s">
        <v>456</v>
      </c>
      <c r="Y32" s="84" t="s">
        <v>443</v>
      </c>
      <c r="Z32" s="88"/>
      <c r="AA32" s="88"/>
      <c r="AB32" s="88"/>
      <c r="AC32" s="88"/>
    </row>
    <row r="33" spans="2:29" ht="15.75" x14ac:dyDescent="0.25">
      <c r="B33" s="281">
        <v>31</v>
      </c>
      <c r="C33" s="368" t="s">
        <v>389</v>
      </c>
      <c r="D33" s="370" t="s">
        <v>427</v>
      </c>
      <c r="E33" s="86">
        <v>9988555739</v>
      </c>
      <c r="F33" s="82" t="s">
        <v>358</v>
      </c>
      <c r="G33" s="84" t="s">
        <v>435</v>
      </c>
      <c r="H33" s="373" t="s">
        <v>654</v>
      </c>
      <c r="I33" s="82" t="s">
        <v>357</v>
      </c>
      <c r="J33" s="84" t="s">
        <v>655</v>
      </c>
      <c r="K33" s="83" t="s">
        <v>656</v>
      </c>
      <c r="L33" s="84" t="s">
        <v>657</v>
      </c>
      <c r="M33" s="84" t="s">
        <v>658</v>
      </c>
      <c r="N33" s="82">
        <v>2013</v>
      </c>
      <c r="O33" s="84" t="s">
        <v>491</v>
      </c>
      <c r="P33" s="84" t="s">
        <v>451</v>
      </c>
      <c r="Q33" s="90" t="s">
        <v>452</v>
      </c>
      <c r="R33" s="90" t="s">
        <v>453</v>
      </c>
      <c r="S33" s="376">
        <v>1</v>
      </c>
      <c r="T33" s="84" t="s">
        <v>659</v>
      </c>
      <c r="U33" s="84" t="s">
        <v>660</v>
      </c>
      <c r="V33" s="84" t="s">
        <v>655</v>
      </c>
      <c r="W33" s="84"/>
      <c r="X33" s="84" t="s">
        <v>476</v>
      </c>
      <c r="Y33" s="84" t="s">
        <v>443</v>
      </c>
      <c r="Z33" s="85"/>
      <c r="AA33" s="85"/>
      <c r="AB33" s="85"/>
      <c r="AC33" s="85"/>
    </row>
    <row r="34" spans="2:29" ht="15.75" x14ac:dyDescent="0.25">
      <c r="B34" s="281">
        <v>32</v>
      </c>
      <c r="C34" s="369" t="s">
        <v>390</v>
      </c>
      <c r="D34" s="371" t="s">
        <v>428</v>
      </c>
      <c r="E34" s="86">
        <v>9971751544</v>
      </c>
      <c r="F34" s="82" t="s">
        <v>109</v>
      </c>
      <c r="G34" s="84" t="s">
        <v>435</v>
      </c>
      <c r="H34" s="374">
        <v>35696</v>
      </c>
      <c r="I34" s="82" t="s">
        <v>357</v>
      </c>
      <c r="J34" s="84" t="s">
        <v>661</v>
      </c>
      <c r="K34" s="83" t="s">
        <v>662</v>
      </c>
      <c r="L34" s="84" t="s">
        <v>663</v>
      </c>
      <c r="M34" s="84" t="s">
        <v>556</v>
      </c>
      <c r="N34" s="82">
        <v>2013</v>
      </c>
      <c r="O34" s="84" t="s">
        <v>664</v>
      </c>
      <c r="P34" s="84" t="s">
        <v>451</v>
      </c>
      <c r="Q34" s="90" t="s">
        <v>452</v>
      </c>
      <c r="R34" s="90" t="s">
        <v>453</v>
      </c>
      <c r="S34" s="376">
        <v>3</v>
      </c>
      <c r="T34" s="84" t="s">
        <v>665</v>
      </c>
      <c r="U34" s="84" t="s">
        <v>666</v>
      </c>
      <c r="V34" s="84" t="s">
        <v>661</v>
      </c>
      <c r="W34" s="84">
        <v>81221843056</v>
      </c>
      <c r="X34" s="84" t="s">
        <v>485</v>
      </c>
      <c r="Y34" s="84" t="s">
        <v>443</v>
      </c>
      <c r="Z34" s="85"/>
      <c r="AA34" s="85"/>
      <c r="AB34" s="85"/>
      <c r="AC34" s="85"/>
    </row>
    <row r="35" spans="2:29" ht="15.75" x14ac:dyDescent="0.25">
      <c r="B35" s="281">
        <v>33</v>
      </c>
      <c r="C35" s="369" t="s">
        <v>391</v>
      </c>
      <c r="D35" s="371" t="s">
        <v>429</v>
      </c>
      <c r="E35" s="86">
        <v>9988551114</v>
      </c>
      <c r="F35" s="82" t="s">
        <v>109</v>
      </c>
      <c r="G35" s="84" t="s">
        <v>435</v>
      </c>
      <c r="H35" s="374">
        <v>36045</v>
      </c>
      <c r="I35" s="82" t="s">
        <v>357</v>
      </c>
      <c r="J35" s="84" t="s">
        <v>667</v>
      </c>
      <c r="K35" s="83" t="s">
        <v>668</v>
      </c>
      <c r="L35" s="84" t="s">
        <v>618</v>
      </c>
      <c r="M35" s="84" t="s">
        <v>619</v>
      </c>
      <c r="N35" s="82">
        <v>2013</v>
      </c>
      <c r="O35" s="84" t="s">
        <v>669</v>
      </c>
      <c r="P35" s="84" t="s">
        <v>451</v>
      </c>
      <c r="Q35" s="90" t="s">
        <v>452</v>
      </c>
      <c r="R35" s="90" t="s">
        <v>453</v>
      </c>
      <c r="S35" s="376">
        <v>2</v>
      </c>
      <c r="T35" s="84" t="s">
        <v>670</v>
      </c>
      <c r="U35" s="84" t="s">
        <v>671</v>
      </c>
      <c r="V35" s="84" t="s">
        <v>667</v>
      </c>
      <c r="W35" s="84">
        <v>81220086443</v>
      </c>
      <c r="X35" s="84" t="s">
        <v>672</v>
      </c>
      <c r="Y35" s="84" t="s">
        <v>443</v>
      </c>
      <c r="Z35" s="85"/>
      <c r="AA35" s="85"/>
      <c r="AB35" s="85"/>
      <c r="AC35" s="85"/>
    </row>
    <row r="36" spans="2:29" ht="15.75" x14ac:dyDescent="0.25">
      <c r="B36" s="281">
        <v>34</v>
      </c>
      <c r="C36" s="368" t="s">
        <v>392</v>
      </c>
      <c r="D36" s="370" t="s">
        <v>430</v>
      </c>
      <c r="E36" s="86">
        <v>9981737108</v>
      </c>
      <c r="F36" s="82" t="s">
        <v>358</v>
      </c>
      <c r="G36" s="84" t="s">
        <v>435</v>
      </c>
      <c r="H36" s="374" t="s">
        <v>727</v>
      </c>
      <c r="I36" s="82" t="s">
        <v>357</v>
      </c>
      <c r="J36" s="84" t="s">
        <v>728</v>
      </c>
      <c r="K36" s="83"/>
      <c r="L36" s="84" t="s">
        <v>729</v>
      </c>
      <c r="M36" s="84" t="s">
        <v>730</v>
      </c>
      <c r="N36" s="82">
        <v>2013</v>
      </c>
      <c r="O36" s="84" t="s">
        <v>731</v>
      </c>
      <c r="P36" s="84" t="s">
        <v>451</v>
      </c>
      <c r="Q36" s="89" t="s">
        <v>452</v>
      </c>
      <c r="R36" s="89" t="s">
        <v>453</v>
      </c>
      <c r="S36" s="376">
        <v>1</v>
      </c>
      <c r="T36" s="84" t="s">
        <v>732</v>
      </c>
      <c r="U36" s="84" t="s">
        <v>733</v>
      </c>
      <c r="V36" s="84" t="s">
        <v>734</v>
      </c>
      <c r="W36" s="84">
        <v>85722156616</v>
      </c>
      <c r="X36" s="84" t="s">
        <v>476</v>
      </c>
      <c r="Y36" s="84" t="s">
        <v>443</v>
      </c>
      <c r="Z36" s="85"/>
      <c r="AA36" s="85"/>
      <c r="AB36" s="85"/>
      <c r="AC36" s="85"/>
    </row>
    <row r="37" spans="2:29" ht="15.75" x14ac:dyDescent="0.25">
      <c r="B37" s="281">
        <v>35</v>
      </c>
      <c r="C37" s="369" t="s">
        <v>393</v>
      </c>
      <c r="D37" s="371" t="s">
        <v>431</v>
      </c>
      <c r="E37" s="86">
        <v>9981475315</v>
      </c>
      <c r="F37" s="82" t="s">
        <v>109</v>
      </c>
      <c r="G37" s="84" t="s">
        <v>435</v>
      </c>
      <c r="H37" s="373" t="s">
        <v>673</v>
      </c>
      <c r="I37" s="82" t="s">
        <v>357</v>
      </c>
      <c r="J37" s="84" t="s">
        <v>674</v>
      </c>
      <c r="K37" s="83" t="s">
        <v>675</v>
      </c>
      <c r="L37" s="84" t="s">
        <v>676</v>
      </c>
      <c r="M37" s="84" t="s">
        <v>677</v>
      </c>
      <c r="N37" s="82">
        <v>2013</v>
      </c>
      <c r="O37" s="84" t="s">
        <v>678</v>
      </c>
      <c r="P37" s="84" t="s">
        <v>451</v>
      </c>
      <c r="Q37" s="90" t="s">
        <v>452</v>
      </c>
      <c r="R37" s="90" t="s">
        <v>453</v>
      </c>
      <c r="S37" s="376">
        <v>1</v>
      </c>
      <c r="T37" s="84" t="s">
        <v>679</v>
      </c>
      <c r="U37" s="84" t="s">
        <v>680</v>
      </c>
      <c r="V37" s="84" t="s">
        <v>674</v>
      </c>
      <c r="W37" s="84">
        <v>85294925825</v>
      </c>
      <c r="X37" s="84" t="s">
        <v>456</v>
      </c>
      <c r="Y37" s="84" t="s">
        <v>443</v>
      </c>
      <c r="Z37" s="85"/>
      <c r="AA37" s="85"/>
      <c r="AB37" s="85"/>
      <c r="AC37" s="85"/>
    </row>
    <row r="38" spans="2:29" ht="15.75" x14ac:dyDescent="0.25">
      <c r="B38" s="281">
        <v>36</v>
      </c>
      <c r="C38" s="368" t="s">
        <v>394</v>
      </c>
      <c r="D38" s="370" t="s">
        <v>432</v>
      </c>
      <c r="E38" s="86">
        <v>9985138747</v>
      </c>
      <c r="F38" s="82" t="s">
        <v>358</v>
      </c>
      <c r="G38" s="84" t="s">
        <v>435</v>
      </c>
      <c r="H38" s="373" t="s">
        <v>681</v>
      </c>
      <c r="I38" s="82" t="s">
        <v>357</v>
      </c>
      <c r="J38" s="84" t="s">
        <v>682</v>
      </c>
      <c r="K38" s="83" t="s">
        <v>683</v>
      </c>
      <c r="L38" s="84" t="s">
        <v>684</v>
      </c>
      <c r="M38" s="84" t="s">
        <v>685</v>
      </c>
      <c r="N38" s="82">
        <v>2013</v>
      </c>
      <c r="O38" s="84" t="s">
        <v>686</v>
      </c>
      <c r="P38" s="84" t="s">
        <v>451</v>
      </c>
      <c r="Q38" s="90" t="s">
        <v>452</v>
      </c>
      <c r="R38" s="90" t="s">
        <v>453</v>
      </c>
      <c r="S38" s="376">
        <v>5</v>
      </c>
      <c r="T38" s="84" t="s">
        <v>687</v>
      </c>
      <c r="U38" s="84" t="s">
        <v>688</v>
      </c>
      <c r="V38" s="84" t="s">
        <v>682</v>
      </c>
      <c r="W38" s="84">
        <v>89628295790</v>
      </c>
      <c r="X38" s="84" t="s">
        <v>476</v>
      </c>
      <c r="Y38" s="84" t="s">
        <v>443</v>
      </c>
      <c r="Z38" s="85"/>
      <c r="AA38" s="85"/>
      <c r="AB38" s="85"/>
      <c r="AC38" s="85"/>
    </row>
    <row r="39" spans="2:29" ht="15.75" x14ac:dyDescent="0.25">
      <c r="B39" s="281">
        <v>37</v>
      </c>
      <c r="C39" s="368" t="s">
        <v>395</v>
      </c>
      <c r="D39" s="370" t="s">
        <v>433</v>
      </c>
      <c r="E39" s="86">
        <v>9988617939</v>
      </c>
      <c r="F39" s="82" t="s">
        <v>358</v>
      </c>
      <c r="G39" s="84" t="s">
        <v>435</v>
      </c>
      <c r="H39" s="373">
        <v>36109</v>
      </c>
      <c r="I39" s="82" t="s">
        <v>357</v>
      </c>
      <c r="J39" s="84" t="s">
        <v>689</v>
      </c>
      <c r="K39" s="83" t="s">
        <v>690</v>
      </c>
      <c r="L39" s="84" t="s">
        <v>438</v>
      </c>
      <c r="M39" s="84" t="s">
        <v>691</v>
      </c>
      <c r="N39" s="82">
        <v>2013</v>
      </c>
      <c r="O39" s="84" t="s">
        <v>692</v>
      </c>
      <c r="P39" s="84" t="s">
        <v>451</v>
      </c>
      <c r="Q39" s="90" t="s">
        <v>452</v>
      </c>
      <c r="R39" s="90" t="s">
        <v>453</v>
      </c>
      <c r="S39" s="377">
        <v>1</v>
      </c>
      <c r="T39" s="84" t="s">
        <v>693</v>
      </c>
      <c r="U39" s="84" t="s">
        <v>694</v>
      </c>
      <c r="V39" s="84" t="s">
        <v>689</v>
      </c>
      <c r="W39" s="84">
        <v>85320403597</v>
      </c>
      <c r="X39" s="84" t="s">
        <v>442</v>
      </c>
      <c r="Y39" s="84" t="s">
        <v>443</v>
      </c>
      <c r="Z39" s="85"/>
      <c r="AA39" s="85"/>
      <c r="AB39" s="85"/>
      <c r="AC39" s="85"/>
    </row>
    <row r="40" spans="2:29" ht="15.75" x14ac:dyDescent="0.25">
      <c r="B40" s="281">
        <v>38</v>
      </c>
      <c r="C40" s="368" t="s">
        <v>396</v>
      </c>
      <c r="D40" s="370" t="s">
        <v>434</v>
      </c>
      <c r="E40" s="86">
        <v>9981711332</v>
      </c>
      <c r="F40" s="82" t="s">
        <v>358</v>
      </c>
      <c r="G40" s="84" t="s">
        <v>435</v>
      </c>
      <c r="H40" s="373">
        <v>36115</v>
      </c>
      <c r="I40" s="82" t="s">
        <v>357</v>
      </c>
      <c r="J40" s="84" t="s">
        <v>695</v>
      </c>
      <c r="K40" s="83" t="s">
        <v>696</v>
      </c>
      <c r="L40" s="84" t="s">
        <v>438</v>
      </c>
      <c r="M40" s="84" t="s">
        <v>691</v>
      </c>
      <c r="N40" s="82">
        <v>2013</v>
      </c>
      <c r="O40" s="84" t="s">
        <v>697</v>
      </c>
      <c r="P40" s="84" t="s">
        <v>451</v>
      </c>
      <c r="Q40" s="90" t="s">
        <v>452</v>
      </c>
      <c r="R40" s="90" t="s">
        <v>453</v>
      </c>
      <c r="S40" s="377">
        <v>1</v>
      </c>
      <c r="T40" s="84" t="s">
        <v>698</v>
      </c>
      <c r="U40" s="84" t="s">
        <v>699</v>
      </c>
      <c r="V40" s="84" t="s">
        <v>695</v>
      </c>
      <c r="W40" s="84"/>
      <c r="X40" s="84" t="s">
        <v>442</v>
      </c>
      <c r="Y40" s="84" t="s">
        <v>443</v>
      </c>
      <c r="Z40" s="85"/>
      <c r="AA40" s="85"/>
      <c r="AB40" s="85"/>
      <c r="AC40" s="85"/>
    </row>
    <row r="41" spans="2:29" x14ac:dyDescent="0.25">
      <c r="B41" s="281">
        <v>39</v>
      </c>
      <c r="C41" s="10"/>
      <c r="D41" s="86"/>
      <c r="E41" s="86"/>
      <c r="F41" s="82"/>
      <c r="G41" s="84"/>
      <c r="H41" s="90"/>
      <c r="I41" s="82"/>
      <c r="J41" s="84"/>
      <c r="K41" s="83"/>
      <c r="L41" s="84"/>
      <c r="M41" s="84"/>
      <c r="N41" s="82"/>
      <c r="O41" s="84"/>
      <c r="P41" s="84"/>
      <c r="Q41" s="90"/>
      <c r="R41" s="90"/>
      <c r="S41" s="91"/>
      <c r="T41" s="84"/>
      <c r="U41" s="84"/>
      <c r="V41" s="84"/>
      <c r="W41" s="84"/>
      <c r="X41" s="84"/>
      <c r="Y41" s="84"/>
      <c r="Z41" s="85"/>
      <c r="AA41" s="85"/>
      <c r="AB41" s="85"/>
      <c r="AC41" s="85"/>
    </row>
    <row r="42" spans="2:29" x14ac:dyDescent="0.25">
      <c r="B42" s="282">
        <v>40</v>
      </c>
      <c r="C42" s="10"/>
      <c r="D42" s="86"/>
      <c r="E42" s="86"/>
      <c r="F42" s="82"/>
      <c r="G42" s="84"/>
      <c r="H42" s="92"/>
      <c r="I42" s="82"/>
      <c r="J42" s="93"/>
      <c r="K42" s="94"/>
      <c r="L42" s="93"/>
      <c r="M42" s="93"/>
      <c r="N42" s="95"/>
      <c r="O42" s="93"/>
      <c r="P42" s="93"/>
      <c r="Q42" s="92"/>
      <c r="R42" s="92"/>
      <c r="S42" s="96"/>
      <c r="T42" s="93"/>
      <c r="U42" s="93"/>
      <c r="V42" s="93"/>
      <c r="W42" s="93"/>
      <c r="X42" s="93"/>
      <c r="Y42" s="93"/>
      <c r="Z42" s="97"/>
      <c r="AA42" s="97"/>
      <c r="AB42" s="97"/>
      <c r="AC42" s="97"/>
    </row>
    <row r="43" spans="2:29" s="135" customFormat="1" x14ac:dyDescent="0.25">
      <c r="B43" s="150"/>
      <c r="C43" s="151"/>
      <c r="D43" s="152"/>
      <c r="E43" s="152"/>
      <c r="F43" s="153"/>
      <c r="G43" s="154"/>
      <c r="H43" s="155"/>
      <c r="I43" s="153"/>
      <c r="J43" s="112"/>
      <c r="K43" s="156"/>
      <c r="L43" s="112"/>
      <c r="M43" s="112"/>
      <c r="N43" s="157"/>
      <c r="O43" s="112"/>
      <c r="P43" s="112"/>
      <c r="Q43" s="155"/>
      <c r="R43" s="155"/>
      <c r="S43" s="158"/>
      <c r="T43" s="112"/>
      <c r="U43" s="112"/>
      <c r="V43" s="112"/>
      <c r="W43" s="112"/>
      <c r="X43" s="112"/>
      <c r="Y43" s="112"/>
      <c r="Z43" s="159"/>
      <c r="AA43" s="159"/>
      <c r="AB43" s="159"/>
      <c r="AC43" s="159"/>
    </row>
    <row r="44" spans="2:29" s="170" customFormat="1" x14ac:dyDescent="0.25">
      <c r="B44" s="160"/>
      <c r="C44" s="161"/>
      <c r="D44" s="162"/>
      <c r="E44" s="162"/>
      <c r="F44" s="163"/>
      <c r="G44" s="160"/>
      <c r="H44" s="164"/>
      <c r="I44" s="163"/>
      <c r="J44" s="165"/>
      <c r="K44" s="166"/>
      <c r="L44" s="165"/>
      <c r="M44" s="165"/>
      <c r="N44" s="167"/>
      <c r="O44" s="165"/>
      <c r="P44" s="165"/>
      <c r="Q44" s="164"/>
      <c r="R44" s="164"/>
      <c r="S44" s="168"/>
      <c r="T44" s="165"/>
      <c r="U44" s="165"/>
      <c r="V44" s="165"/>
      <c r="W44" s="165"/>
      <c r="X44" s="165"/>
      <c r="Y44" s="165"/>
      <c r="Z44" s="169"/>
      <c r="AA44" s="169"/>
      <c r="AB44" s="169"/>
      <c r="AC44" s="169"/>
    </row>
    <row r="45" spans="2:29" s="170" customFormat="1" ht="24" customHeight="1" x14ac:dyDescent="0.25">
      <c r="B45" s="395" t="s">
        <v>180</v>
      </c>
      <c r="C45" s="395"/>
      <c r="D45" s="162"/>
      <c r="E45" s="162"/>
      <c r="F45" s="163"/>
      <c r="G45" s="160"/>
      <c r="H45" s="164"/>
      <c r="I45" s="163"/>
      <c r="J45" s="165"/>
      <c r="K45" s="166"/>
      <c r="L45" s="165"/>
      <c r="M45" s="165"/>
      <c r="N45" s="167"/>
      <c r="O45" s="165"/>
      <c r="P45" s="165"/>
      <c r="Q45" s="164"/>
      <c r="R45" s="164"/>
      <c r="S45" s="168"/>
      <c r="T45" s="165"/>
      <c r="U45" s="165"/>
      <c r="V45" s="165"/>
      <c r="W45" s="165"/>
      <c r="X45" s="165"/>
      <c r="Y45" s="165"/>
      <c r="Z45" s="169"/>
      <c r="AA45" s="169"/>
      <c r="AB45" s="169"/>
      <c r="AC45" s="169"/>
    </row>
    <row r="46" spans="2:29" s="170" customFormat="1" x14ac:dyDescent="0.25">
      <c r="B46" s="160"/>
      <c r="C46" s="161"/>
      <c r="D46" s="162"/>
      <c r="E46" s="162"/>
      <c r="F46" s="163"/>
      <c r="G46" s="160"/>
      <c r="H46" s="164"/>
      <c r="I46" s="163"/>
      <c r="J46" s="165"/>
      <c r="K46" s="166"/>
      <c r="L46" s="165"/>
      <c r="M46" s="165"/>
      <c r="N46" s="167"/>
      <c r="O46" s="165"/>
      <c r="P46" s="165"/>
      <c r="Q46" s="164"/>
      <c r="R46" s="164"/>
      <c r="S46" s="168"/>
      <c r="T46" s="165"/>
      <c r="U46" s="165"/>
      <c r="V46" s="165"/>
      <c r="W46" s="165"/>
      <c r="X46" s="165"/>
      <c r="Y46" s="165"/>
      <c r="Z46" s="169"/>
      <c r="AA46" s="169"/>
      <c r="AB46" s="169"/>
      <c r="AC46" s="169"/>
    </row>
    <row r="47" spans="2:29" s="174" customFormat="1" x14ac:dyDescent="0.25">
      <c r="B47" s="171"/>
      <c r="C47" s="172">
        <f>COUNTA(C3:C42)</f>
        <v>38</v>
      </c>
      <c r="D47" s="172">
        <f t="shared" ref="D47:AC47" si="0">COUNTA(D3:D42)</f>
        <v>38</v>
      </c>
      <c r="E47" s="172"/>
      <c r="F47" s="172">
        <f t="shared" si="0"/>
        <v>38</v>
      </c>
      <c r="G47" s="172">
        <f t="shared" si="0"/>
        <v>38</v>
      </c>
      <c r="H47" s="172">
        <f t="shared" si="0"/>
        <v>38</v>
      </c>
      <c r="I47" s="172">
        <f t="shared" si="0"/>
        <v>38</v>
      </c>
      <c r="J47" s="172">
        <f t="shared" si="0"/>
        <v>38</v>
      </c>
      <c r="K47" s="173">
        <f t="shared" si="0"/>
        <v>35</v>
      </c>
      <c r="L47" s="172">
        <f t="shared" si="0"/>
        <v>38</v>
      </c>
      <c r="M47" s="172">
        <f t="shared" si="0"/>
        <v>38</v>
      </c>
      <c r="N47" s="172">
        <f t="shared" si="0"/>
        <v>38</v>
      </c>
      <c r="O47" s="172">
        <f t="shared" si="0"/>
        <v>38</v>
      </c>
      <c r="P47" s="172">
        <f t="shared" si="0"/>
        <v>38</v>
      </c>
      <c r="Q47" s="172">
        <f t="shared" si="0"/>
        <v>38</v>
      </c>
      <c r="R47" s="172">
        <f t="shared" si="0"/>
        <v>38</v>
      </c>
      <c r="S47" s="172">
        <f t="shared" si="0"/>
        <v>38</v>
      </c>
      <c r="T47" s="172">
        <f t="shared" si="0"/>
        <v>37</v>
      </c>
      <c r="U47" s="172">
        <f t="shared" si="0"/>
        <v>37</v>
      </c>
      <c r="V47" s="172">
        <f t="shared" si="0"/>
        <v>38</v>
      </c>
      <c r="W47" s="172">
        <f t="shared" si="0"/>
        <v>33</v>
      </c>
      <c r="X47" s="172">
        <f t="shared" si="0"/>
        <v>38</v>
      </c>
      <c r="Y47" s="172">
        <f t="shared" si="0"/>
        <v>38</v>
      </c>
      <c r="Z47" s="172">
        <f t="shared" si="0"/>
        <v>0</v>
      </c>
      <c r="AA47" s="172">
        <f t="shared" si="0"/>
        <v>0</v>
      </c>
      <c r="AB47" s="172">
        <f t="shared" si="0"/>
        <v>0</v>
      </c>
      <c r="AC47" s="172">
        <f t="shared" si="0"/>
        <v>0</v>
      </c>
    </row>
    <row r="48" spans="2:29" s="175" customFormat="1" x14ac:dyDescent="0.25">
      <c r="C48" s="175">
        <f>MIN(C47:AC47)</f>
        <v>0</v>
      </c>
      <c r="D48" s="176"/>
      <c r="E48" s="176"/>
      <c r="F48" s="177"/>
      <c r="G48" s="177"/>
      <c r="H48" s="178"/>
      <c r="I48" s="179"/>
      <c r="J48" s="177"/>
      <c r="K48" s="180"/>
      <c r="S48" s="181"/>
    </row>
    <row r="49" spans="4:19" s="175" customFormat="1" x14ac:dyDescent="0.25">
      <c r="D49" s="176"/>
      <c r="E49" s="176"/>
      <c r="F49" s="177" t="s">
        <v>108</v>
      </c>
      <c r="G49" s="177"/>
      <c r="H49" s="178"/>
      <c r="I49" s="182" t="str">
        <f>'[1]Data Mata Pelajaran'!F2</f>
        <v>Islam</v>
      </c>
      <c r="J49" s="177"/>
      <c r="K49" s="180"/>
      <c r="S49" s="181"/>
    </row>
    <row r="50" spans="4:19" s="175" customFormat="1" x14ac:dyDescent="0.25">
      <c r="D50" s="176"/>
      <c r="E50" s="176"/>
      <c r="F50" s="177" t="s">
        <v>109</v>
      </c>
      <c r="G50" s="177"/>
      <c r="H50" s="178"/>
      <c r="I50" s="182" t="str">
        <f>'[1]Data Mata Pelajaran'!F3</f>
        <v>Kristen</v>
      </c>
      <c r="J50" s="177"/>
      <c r="K50" s="180"/>
      <c r="S50" s="181"/>
    </row>
    <row r="51" spans="4:19" s="175" customFormat="1" x14ac:dyDescent="0.25">
      <c r="D51" s="176"/>
      <c r="E51" s="176"/>
      <c r="F51" s="177" t="s">
        <v>358</v>
      </c>
      <c r="G51" s="177"/>
      <c r="H51" s="178"/>
      <c r="I51" s="182" t="str">
        <f>'[1]Data Mata Pelajaran'!F4</f>
        <v>Katolik</v>
      </c>
      <c r="J51" s="177"/>
      <c r="K51" s="180"/>
      <c r="S51" s="181"/>
    </row>
    <row r="52" spans="4:19" s="175" customFormat="1" x14ac:dyDescent="0.25">
      <c r="D52" s="176"/>
      <c r="E52" s="176"/>
      <c r="F52" s="177"/>
      <c r="G52" s="177"/>
      <c r="H52" s="178"/>
      <c r="I52" s="182" t="str">
        <f>'[1]Data Mata Pelajaran'!F5</f>
        <v>Hindu</v>
      </c>
      <c r="J52" s="177"/>
      <c r="K52" s="180"/>
      <c r="S52" s="181"/>
    </row>
    <row r="53" spans="4:19" s="175" customFormat="1" x14ac:dyDescent="0.25">
      <c r="D53" s="176"/>
      <c r="E53" s="176"/>
      <c r="F53" s="177"/>
      <c r="G53" s="177"/>
      <c r="H53" s="178"/>
      <c r="I53" s="182" t="str">
        <f>'[1]Data Mata Pelajaran'!F6</f>
        <v>Budha</v>
      </c>
      <c r="J53" s="177"/>
      <c r="K53" s="180"/>
      <c r="S53" s="181"/>
    </row>
    <row r="54" spans="4:19" s="175" customFormat="1" x14ac:dyDescent="0.25">
      <c r="D54" s="176"/>
      <c r="E54" s="176"/>
      <c r="F54" s="177"/>
      <c r="G54" s="177"/>
      <c r="H54" s="178"/>
      <c r="I54" s="182" t="str">
        <f>'[1]Data Mata Pelajaran'!F7</f>
        <v>Khong Hu Chu</v>
      </c>
      <c r="J54" s="177"/>
      <c r="K54" s="180"/>
      <c r="S54" s="181"/>
    </row>
    <row r="55" spans="4:19" s="175" customFormat="1" x14ac:dyDescent="0.25">
      <c r="D55" s="176"/>
      <c r="E55" s="176"/>
      <c r="F55" s="177"/>
      <c r="G55" s="177"/>
      <c r="H55" s="178"/>
      <c r="I55" s="179" t="s">
        <v>357</v>
      </c>
      <c r="J55" s="177"/>
      <c r="K55" s="180"/>
      <c r="S55" s="181"/>
    </row>
    <row r="56" spans="4:19" s="175" customFormat="1" x14ac:dyDescent="0.25">
      <c r="D56" s="176"/>
      <c r="E56" s="176"/>
      <c r="F56" s="177"/>
      <c r="G56" s="177"/>
      <c r="H56" s="178"/>
      <c r="I56" s="179"/>
      <c r="J56" s="177"/>
      <c r="K56" s="180"/>
      <c r="S56" s="181"/>
    </row>
    <row r="57" spans="4:19" x14ac:dyDescent="0.25">
      <c r="D57" s="176"/>
      <c r="E57" s="176"/>
      <c r="F57" s="177"/>
      <c r="G57" s="177"/>
      <c r="H57" s="178"/>
      <c r="I57" s="179"/>
      <c r="J57" s="177"/>
    </row>
    <row r="58" spans="4:19" x14ac:dyDescent="0.25">
      <c r="D58" s="176"/>
      <c r="E58" s="176"/>
      <c r="F58" s="177"/>
      <c r="G58" s="177"/>
      <c r="H58" s="178"/>
      <c r="I58" s="179"/>
      <c r="J58" s="177"/>
    </row>
    <row r="59" spans="4:19" x14ac:dyDescent="0.25">
      <c r="D59" s="176"/>
      <c r="E59" s="176"/>
      <c r="F59" s="177"/>
      <c r="G59" s="177"/>
      <c r="H59" s="178"/>
      <c r="I59" s="179"/>
      <c r="J59" s="177"/>
    </row>
    <row r="60" spans="4:19" x14ac:dyDescent="0.25">
      <c r="D60" s="176"/>
      <c r="E60" s="176"/>
      <c r="F60" s="177"/>
      <c r="G60" s="177"/>
      <c r="H60" s="178"/>
      <c r="I60" s="179"/>
      <c r="J60" s="177"/>
    </row>
    <row r="61" spans="4:19" x14ac:dyDescent="0.25">
      <c r="D61" s="176"/>
      <c r="E61" s="176"/>
      <c r="F61" s="177"/>
      <c r="G61" s="177"/>
      <c r="H61" s="178"/>
      <c r="I61" s="179"/>
      <c r="J61" s="177"/>
    </row>
    <row r="62" spans="4:19" x14ac:dyDescent="0.25">
      <c r="D62" s="176"/>
      <c r="E62" s="176"/>
      <c r="F62" s="177"/>
      <c r="G62" s="177"/>
      <c r="H62" s="178"/>
      <c r="I62" s="179"/>
      <c r="J62" s="177"/>
    </row>
    <row r="63" spans="4:19" x14ac:dyDescent="0.25">
      <c r="D63" s="176"/>
      <c r="E63" s="176"/>
      <c r="F63" s="177"/>
      <c r="G63" s="177"/>
      <c r="H63" s="178"/>
      <c r="I63" s="179"/>
      <c r="J63" s="177"/>
    </row>
  </sheetData>
  <sheetProtection selectLockedCells="1"/>
  <mergeCells count="2">
    <mergeCell ref="B45:C45"/>
    <mergeCell ref="B1:E1"/>
  </mergeCells>
  <dataValidations count="4">
    <dataValidation type="list" allowBlank="1" showInputMessage="1" showErrorMessage="1" sqref="I18:I46">
      <formula1>$I$49:$I$54</formula1>
    </dataValidation>
    <dataValidation type="list" allowBlank="1" showInputMessage="1" showErrorMessage="1" sqref="F18:F46">
      <formula1>$F$49:$F$50</formula1>
    </dataValidation>
    <dataValidation type="list" allowBlank="1" showInputMessage="1" showErrorMessage="1" sqref="I3:I17">
      <formula1>$I$50:$I$55</formula1>
    </dataValidation>
    <dataValidation type="list" allowBlank="1" showInputMessage="1" showErrorMessage="1" sqref="F3:F17">
      <formula1>$F$50:$F$51</formula1>
    </dataValidation>
  </dataValidations>
  <hyperlinks>
    <hyperlink ref="B45:C45" location="'RK2013'!A1" display="Kembali Ke Halaman Menu Utama"/>
  </hyperlinks>
  <pageMargins left="0.7" right="0.7" top="0.75" bottom="0.75" header="0.3" footer="0.3"/>
  <pageSetup paperSize="9" orientation="portrait" horizontalDpi="4294967293" verticalDpi="300" r:id="rId1"/>
  <ignoredErrors>
    <ignoredError sqref="F47:Q47 T47:AC47 C47:D47" unlockedFormula="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sheetPr>
  <dimension ref="B2:U65"/>
  <sheetViews>
    <sheetView showGridLines="0" showRowColHeaders="0" workbookViewId="0">
      <selection activeCell="D1" sqref="D1"/>
    </sheetView>
  </sheetViews>
  <sheetFormatPr defaultRowHeight="15" x14ac:dyDescent="0.25"/>
  <cols>
    <col min="1" max="1" width="9.140625" style="136"/>
    <col min="2" max="2" width="26.85546875" style="136" customWidth="1"/>
    <col min="3" max="3" width="5.85546875" style="136" customWidth="1"/>
    <col min="4" max="4" width="43.28515625" style="136" bestFit="1" customWidth="1"/>
    <col min="5" max="5" width="16.140625" style="136" customWidth="1"/>
    <col min="6" max="6" width="9.140625" style="136" hidden="1" customWidth="1"/>
    <col min="7" max="7" width="32.140625" style="136" customWidth="1"/>
    <col min="8" max="8" width="9" style="175" customWidth="1"/>
    <col min="9" max="9" width="9.140625" style="175"/>
    <col min="10" max="16384" width="9.140625" style="136"/>
  </cols>
  <sheetData>
    <row r="2" spans="2:21" ht="21.75" customHeight="1" x14ac:dyDescent="0.25">
      <c r="B2" s="185" t="s">
        <v>144</v>
      </c>
      <c r="C2" s="185" t="s">
        <v>18</v>
      </c>
      <c r="D2" s="185" t="s">
        <v>207</v>
      </c>
      <c r="E2" s="185" t="s">
        <v>158</v>
      </c>
      <c r="F2" s="185" t="s">
        <v>151</v>
      </c>
      <c r="G2" s="185" t="s">
        <v>152</v>
      </c>
    </row>
    <row r="3" spans="2:21" s="135" customFormat="1" x14ac:dyDescent="0.25">
      <c r="B3" s="186" t="s">
        <v>185</v>
      </c>
      <c r="C3" s="187"/>
      <c r="D3" s="187"/>
      <c r="E3" s="187"/>
      <c r="F3" s="187"/>
      <c r="G3" s="187"/>
      <c r="H3" s="174"/>
      <c r="I3" s="174"/>
    </row>
    <row r="4" spans="2:21" x14ac:dyDescent="0.25">
      <c r="B4" s="188"/>
      <c r="C4" s="189">
        <v>1</v>
      </c>
      <c r="D4" s="203" t="s">
        <v>145</v>
      </c>
      <c r="E4" s="203" t="s">
        <v>57</v>
      </c>
      <c r="F4" s="189"/>
      <c r="G4" s="203" t="s">
        <v>326</v>
      </c>
      <c r="H4" s="175">
        <f>COUNTA(D4:D9,D11,D12,D13)</f>
        <v>9</v>
      </c>
    </row>
    <row r="5" spans="2:21" x14ac:dyDescent="0.25">
      <c r="B5" s="188"/>
      <c r="C5" s="190">
        <v>2</v>
      </c>
      <c r="D5" s="204" t="s">
        <v>146</v>
      </c>
      <c r="E5" s="204" t="s">
        <v>269</v>
      </c>
      <c r="F5" s="190"/>
      <c r="G5" s="204" t="s">
        <v>726</v>
      </c>
      <c r="U5" s="135"/>
    </row>
    <row r="6" spans="2:21" x14ac:dyDescent="0.25">
      <c r="B6" s="188"/>
      <c r="C6" s="190">
        <v>3</v>
      </c>
      <c r="D6" s="204" t="s">
        <v>147</v>
      </c>
      <c r="E6" s="204" t="s">
        <v>159</v>
      </c>
      <c r="F6" s="190"/>
      <c r="G6" s="204" t="s">
        <v>327</v>
      </c>
    </row>
    <row r="7" spans="2:21" x14ac:dyDescent="0.25">
      <c r="B7" s="188"/>
      <c r="C7" s="190">
        <v>4</v>
      </c>
      <c r="D7" s="204" t="s">
        <v>148</v>
      </c>
      <c r="E7" s="204" t="s">
        <v>148</v>
      </c>
      <c r="F7" s="190"/>
      <c r="G7" s="204" t="s">
        <v>705</v>
      </c>
    </row>
    <row r="8" spans="2:21" x14ac:dyDescent="0.25">
      <c r="B8" s="188"/>
      <c r="C8" s="190">
        <v>5</v>
      </c>
      <c r="D8" s="204" t="s">
        <v>149</v>
      </c>
      <c r="E8" s="204" t="s">
        <v>160</v>
      </c>
      <c r="F8" s="190"/>
      <c r="G8" s="204" t="s">
        <v>328</v>
      </c>
    </row>
    <row r="9" spans="2:21" x14ac:dyDescent="0.25">
      <c r="B9" s="191"/>
      <c r="C9" s="192">
        <v>6</v>
      </c>
      <c r="D9" s="205" t="s">
        <v>150</v>
      </c>
      <c r="E9" s="205" t="s">
        <v>161</v>
      </c>
      <c r="F9" s="192"/>
      <c r="G9" s="205" t="s">
        <v>706</v>
      </c>
    </row>
    <row r="10" spans="2:21" x14ac:dyDescent="0.25">
      <c r="B10" s="186" t="s">
        <v>186</v>
      </c>
      <c r="C10" s="186"/>
      <c r="D10" s="186"/>
      <c r="E10" s="186"/>
      <c r="F10" s="186"/>
      <c r="G10" s="186"/>
    </row>
    <row r="11" spans="2:21" x14ac:dyDescent="0.25">
      <c r="B11" s="188"/>
      <c r="C11" s="189">
        <v>1</v>
      </c>
      <c r="D11" s="203" t="s">
        <v>153</v>
      </c>
      <c r="E11" s="203" t="s">
        <v>164</v>
      </c>
      <c r="F11" s="189"/>
      <c r="G11" s="203" t="s">
        <v>707</v>
      </c>
      <c r="Q11" s="135"/>
      <c r="R11" s="135"/>
      <c r="S11" s="135"/>
      <c r="T11" s="135"/>
    </row>
    <row r="12" spans="2:21" x14ac:dyDescent="0.25">
      <c r="B12" s="188"/>
      <c r="C12" s="190">
        <v>2</v>
      </c>
      <c r="D12" s="204" t="s">
        <v>154</v>
      </c>
      <c r="E12" s="204" t="s">
        <v>162</v>
      </c>
      <c r="F12" s="190"/>
      <c r="G12" s="204" t="s">
        <v>708</v>
      </c>
    </row>
    <row r="13" spans="2:21" x14ac:dyDescent="0.25">
      <c r="B13" s="191"/>
      <c r="C13" s="192">
        <v>3</v>
      </c>
      <c r="D13" s="205" t="s">
        <v>129</v>
      </c>
      <c r="E13" s="205" t="s">
        <v>163</v>
      </c>
      <c r="F13" s="192"/>
      <c r="G13" s="205" t="s">
        <v>709</v>
      </c>
    </row>
    <row r="14" spans="2:21" ht="15.75" thickBot="1" x14ac:dyDescent="0.3">
      <c r="B14" s="186" t="s">
        <v>198</v>
      </c>
      <c r="C14" s="186"/>
      <c r="D14" s="186"/>
      <c r="E14" s="186"/>
      <c r="F14" s="186"/>
      <c r="G14" s="186"/>
    </row>
    <row r="15" spans="2:21" ht="15.75" thickBot="1" x14ac:dyDescent="0.3">
      <c r="B15" s="193" t="s">
        <v>155</v>
      </c>
      <c r="C15" s="189">
        <v>1</v>
      </c>
      <c r="D15" s="294" t="s">
        <v>702</v>
      </c>
      <c r="E15" s="203" t="s">
        <v>702</v>
      </c>
      <c r="F15" s="189"/>
      <c r="G15" s="203" t="s">
        <v>710</v>
      </c>
    </row>
    <row r="16" spans="2:21" ht="15.75" thickBot="1" x14ac:dyDescent="0.3">
      <c r="B16" s="188"/>
      <c r="C16" s="190">
        <v>2</v>
      </c>
      <c r="D16" s="295" t="s">
        <v>703</v>
      </c>
      <c r="E16" s="204" t="s">
        <v>704</v>
      </c>
      <c r="F16" s="190"/>
      <c r="G16" s="204" t="s">
        <v>723</v>
      </c>
    </row>
    <row r="17" spans="2:7" x14ac:dyDescent="0.25">
      <c r="B17" s="188"/>
      <c r="C17" s="190">
        <v>3</v>
      </c>
      <c r="D17" s="204"/>
      <c r="E17" s="204"/>
      <c r="F17" s="190"/>
      <c r="G17" s="204" t="s">
        <v>298</v>
      </c>
    </row>
    <row r="18" spans="2:7" x14ac:dyDescent="0.25">
      <c r="B18" s="188"/>
      <c r="C18" s="190">
        <v>4</v>
      </c>
      <c r="D18" s="204"/>
      <c r="E18" s="204"/>
      <c r="F18" s="189"/>
      <c r="G18" s="204" t="s">
        <v>299</v>
      </c>
    </row>
    <row r="19" spans="2:7" x14ac:dyDescent="0.25">
      <c r="B19" s="188"/>
      <c r="C19" s="190">
        <v>5</v>
      </c>
      <c r="D19" s="204"/>
      <c r="E19" s="204"/>
      <c r="F19" s="189"/>
      <c r="G19" s="204" t="s">
        <v>300</v>
      </c>
    </row>
    <row r="20" spans="2:7" ht="15.75" thickBot="1" x14ac:dyDescent="0.3">
      <c r="B20" s="188"/>
      <c r="C20" s="190">
        <v>6</v>
      </c>
      <c r="D20" s="204"/>
      <c r="E20" s="204"/>
      <c r="F20" s="189"/>
      <c r="G20" s="204" t="s">
        <v>301</v>
      </c>
    </row>
    <row r="21" spans="2:7" ht="15.75" thickBot="1" x14ac:dyDescent="0.3">
      <c r="B21" s="194" t="s">
        <v>156</v>
      </c>
      <c r="C21" s="195">
        <v>1</v>
      </c>
      <c r="D21" s="292" t="s">
        <v>711</v>
      </c>
      <c r="E21" s="206" t="s">
        <v>717</v>
      </c>
      <c r="F21" s="195"/>
      <c r="G21" s="204" t="s">
        <v>722</v>
      </c>
    </row>
    <row r="22" spans="2:7" ht="15.75" thickBot="1" x14ac:dyDescent="0.3">
      <c r="B22" s="188"/>
      <c r="C22" s="190">
        <v>2</v>
      </c>
      <c r="D22" s="293" t="s">
        <v>712</v>
      </c>
      <c r="E22" s="204" t="s">
        <v>718</v>
      </c>
      <c r="F22" s="190"/>
      <c r="G22" s="204" t="s">
        <v>723</v>
      </c>
    </row>
    <row r="23" spans="2:7" ht="15.75" thickBot="1" x14ac:dyDescent="0.3">
      <c r="B23" s="188"/>
      <c r="C23" s="190">
        <v>3</v>
      </c>
      <c r="D23" s="293" t="s">
        <v>713</v>
      </c>
      <c r="E23" s="204" t="s">
        <v>719</v>
      </c>
      <c r="F23" s="190"/>
      <c r="G23" s="204" t="s">
        <v>724</v>
      </c>
    </row>
    <row r="24" spans="2:7" ht="15.75" thickBot="1" x14ac:dyDescent="0.3">
      <c r="B24" s="188"/>
      <c r="C24" s="190">
        <v>4</v>
      </c>
      <c r="D24" s="293" t="s">
        <v>714</v>
      </c>
      <c r="E24" s="204" t="s">
        <v>313</v>
      </c>
      <c r="F24" s="190"/>
      <c r="G24" s="204" t="s">
        <v>725</v>
      </c>
    </row>
    <row r="25" spans="2:7" ht="15.75" thickBot="1" x14ac:dyDescent="0.3">
      <c r="B25" s="191"/>
      <c r="C25" s="192">
        <v>5</v>
      </c>
      <c r="D25" s="293" t="s">
        <v>715</v>
      </c>
      <c r="E25" s="205" t="s">
        <v>720</v>
      </c>
      <c r="F25" s="192"/>
      <c r="G25" s="204" t="s">
        <v>725</v>
      </c>
    </row>
    <row r="26" spans="2:7" ht="15.75" thickBot="1" x14ac:dyDescent="0.3">
      <c r="B26" s="188"/>
      <c r="C26" s="190">
        <v>6</v>
      </c>
      <c r="D26" s="293" t="s">
        <v>716</v>
      </c>
      <c r="E26" s="205" t="s">
        <v>721</v>
      </c>
      <c r="F26" s="284"/>
      <c r="G26" s="204" t="s">
        <v>724</v>
      </c>
    </row>
    <row r="27" spans="2:7" ht="15.75" thickBot="1" x14ac:dyDescent="0.3">
      <c r="B27" s="194" t="s">
        <v>157</v>
      </c>
      <c r="C27" s="195">
        <v>1</v>
      </c>
      <c r="D27" s="296"/>
      <c r="E27" s="206"/>
      <c r="F27" s="195"/>
      <c r="G27" s="204"/>
    </row>
    <row r="28" spans="2:7" ht="15.75" thickBot="1" x14ac:dyDescent="0.3">
      <c r="B28" s="188"/>
      <c r="C28" s="190">
        <v>2</v>
      </c>
      <c r="D28" s="297"/>
      <c r="E28" s="206"/>
      <c r="F28" s="190"/>
      <c r="G28" s="204" t="s">
        <v>304</v>
      </c>
    </row>
    <row r="29" spans="2:7" ht="15.75" thickBot="1" x14ac:dyDescent="0.3">
      <c r="B29" s="191"/>
      <c r="C29" s="192">
        <v>3</v>
      </c>
      <c r="D29" s="297"/>
      <c r="E29" s="206"/>
      <c r="F29" s="192"/>
      <c r="G29" s="204" t="s">
        <v>305</v>
      </c>
    </row>
    <row r="30" spans="2:7" ht="15.75" thickBot="1" x14ac:dyDescent="0.3">
      <c r="B30" s="121"/>
      <c r="C30" s="190">
        <v>4</v>
      </c>
      <c r="D30" s="297"/>
      <c r="E30" s="206"/>
      <c r="F30" s="284"/>
      <c r="G30" s="204" t="s">
        <v>306</v>
      </c>
    </row>
    <row r="31" spans="2:7" ht="15.75" thickBot="1" x14ac:dyDescent="0.3">
      <c r="B31" s="121"/>
      <c r="C31" s="192">
        <v>5</v>
      </c>
      <c r="D31" s="297"/>
      <c r="E31" s="206"/>
      <c r="F31" s="284"/>
      <c r="G31" s="204" t="s">
        <v>307</v>
      </c>
    </row>
    <row r="32" spans="2:7" x14ac:dyDescent="0.25">
      <c r="B32" s="121"/>
      <c r="C32" s="190">
        <v>6</v>
      </c>
      <c r="D32" s="206"/>
      <c r="E32" s="206"/>
      <c r="F32" s="284"/>
      <c r="G32" s="204" t="s">
        <v>308</v>
      </c>
    </row>
    <row r="33" spans="2:9" x14ac:dyDescent="0.25">
      <c r="B33" s="196" t="s">
        <v>199</v>
      </c>
      <c r="C33" s="186"/>
      <c r="D33" s="186"/>
      <c r="E33" s="186"/>
      <c r="F33" s="186"/>
      <c r="G33" s="197"/>
    </row>
    <row r="34" spans="2:9" x14ac:dyDescent="0.25">
      <c r="B34" s="127"/>
      <c r="C34" s="198">
        <v>1</v>
      </c>
      <c r="D34" s="207" t="s">
        <v>700</v>
      </c>
      <c r="E34" s="207" t="s">
        <v>701</v>
      </c>
      <c r="F34" s="198"/>
      <c r="G34" s="279" t="s">
        <v>309</v>
      </c>
    </row>
    <row r="35" spans="2:9" x14ac:dyDescent="0.25">
      <c r="B35" s="127"/>
      <c r="C35" s="198">
        <v>2</v>
      </c>
      <c r="D35" s="207"/>
      <c r="E35" s="207"/>
      <c r="F35" s="198"/>
      <c r="G35" s="279" t="s">
        <v>310</v>
      </c>
    </row>
    <row r="37" spans="2:9" s="200" customFormat="1" ht="27.75" customHeight="1" x14ac:dyDescent="0.25">
      <c r="B37" s="199" t="s">
        <v>144</v>
      </c>
      <c r="C37" s="185" t="s">
        <v>18</v>
      </c>
      <c r="D37" s="185" t="s">
        <v>189</v>
      </c>
      <c r="E37" s="185" t="s">
        <v>158</v>
      </c>
      <c r="H37" s="245"/>
      <c r="I37" s="245"/>
    </row>
    <row r="38" spans="2:9" ht="21.75" customHeight="1" x14ac:dyDescent="0.25">
      <c r="B38" s="201" t="s">
        <v>296</v>
      </c>
      <c r="C38" s="263">
        <v>1</v>
      </c>
      <c r="D38" s="264" t="s">
        <v>190</v>
      </c>
      <c r="E38" s="264" t="s">
        <v>191</v>
      </c>
      <c r="H38" s="175" t="str">
        <f>D38</f>
        <v>Praja Muda Karana</v>
      </c>
    </row>
    <row r="39" spans="2:9" ht="21.75" customHeight="1" x14ac:dyDescent="0.25">
      <c r="B39" s="188"/>
      <c r="C39" s="263">
        <v>2</v>
      </c>
      <c r="D39" s="264" t="s">
        <v>740</v>
      </c>
      <c r="E39" s="264" t="s">
        <v>737</v>
      </c>
      <c r="H39" s="175" t="str">
        <f t="shared" ref="H39:H62" si="0">D39</f>
        <v>Organisasi Siswa Intra Sekolah</v>
      </c>
    </row>
    <row r="40" spans="2:9" ht="21.75" customHeight="1" x14ac:dyDescent="0.25">
      <c r="B40" s="188"/>
      <c r="C40" s="263">
        <v>3</v>
      </c>
      <c r="D40" s="264" t="s">
        <v>273</v>
      </c>
      <c r="E40" s="264" t="s">
        <v>274</v>
      </c>
      <c r="H40" s="175" t="str">
        <f t="shared" si="0"/>
        <v>Mentoring / ESQ</v>
      </c>
    </row>
    <row r="41" spans="2:9" ht="21.75" customHeight="1" x14ac:dyDescent="0.25">
      <c r="B41" s="201" t="s">
        <v>297</v>
      </c>
      <c r="C41" s="202">
        <v>1</v>
      </c>
      <c r="D41" s="208" t="s">
        <v>275</v>
      </c>
      <c r="E41" s="208" t="s">
        <v>192</v>
      </c>
      <c r="H41" s="175" t="str">
        <f t="shared" si="0"/>
        <v>Bela Diri Karate</v>
      </c>
    </row>
    <row r="42" spans="2:9" ht="21.75" customHeight="1" x14ac:dyDescent="0.25">
      <c r="B42" s="188"/>
      <c r="C42" s="202">
        <v>2</v>
      </c>
      <c r="D42" s="208" t="s">
        <v>738</v>
      </c>
      <c r="E42" s="208" t="s">
        <v>738</v>
      </c>
      <c r="H42" s="175" t="str">
        <f t="shared" si="0"/>
        <v>PASKIBRA</v>
      </c>
    </row>
    <row r="43" spans="2:9" ht="21.75" customHeight="1" x14ac:dyDescent="0.25">
      <c r="B43" s="188"/>
      <c r="C43" s="202">
        <v>3</v>
      </c>
      <c r="D43" s="208" t="s">
        <v>259</v>
      </c>
      <c r="E43" s="208" t="s">
        <v>260</v>
      </c>
      <c r="H43" s="175" t="str">
        <f t="shared" si="0"/>
        <v>Bola Voly</v>
      </c>
    </row>
    <row r="44" spans="2:9" ht="21.75" customHeight="1" x14ac:dyDescent="0.25">
      <c r="B44" s="188"/>
      <c r="C44" s="202">
        <v>4</v>
      </c>
      <c r="D44" s="208" t="s">
        <v>276</v>
      </c>
      <c r="E44" s="208" t="s">
        <v>287</v>
      </c>
      <c r="H44" s="175" t="str">
        <f t="shared" si="0"/>
        <v>Bola Basket</v>
      </c>
    </row>
    <row r="45" spans="2:9" ht="21.75" customHeight="1" x14ac:dyDescent="0.25">
      <c r="B45" s="188"/>
      <c r="C45" s="202">
        <v>5</v>
      </c>
      <c r="D45" s="208" t="s">
        <v>735</v>
      </c>
      <c r="E45" s="208" t="s">
        <v>735</v>
      </c>
      <c r="H45" s="175" t="str">
        <f t="shared" si="0"/>
        <v>karawitan</v>
      </c>
    </row>
    <row r="46" spans="2:9" ht="21.75" customHeight="1" x14ac:dyDescent="0.25">
      <c r="B46" s="188"/>
      <c r="C46" s="202">
        <v>6</v>
      </c>
      <c r="D46" s="208" t="s">
        <v>261</v>
      </c>
      <c r="E46" s="208" t="s">
        <v>261</v>
      </c>
      <c r="H46" s="175" t="str">
        <f t="shared" si="0"/>
        <v>Futsal</v>
      </c>
    </row>
    <row r="47" spans="2:9" ht="21.75" customHeight="1" x14ac:dyDescent="0.25">
      <c r="B47" s="188"/>
      <c r="C47" s="202">
        <v>7</v>
      </c>
      <c r="D47" s="208" t="s">
        <v>277</v>
      </c>
      <c r="E47" s="208" t="s">
        <v>277</v>
      </c>
      <c r="H47" s="175" t="str">
        <f t="shared" si="0"/>
        <v>Tenis Meja</v>
      </c>
    </row>
    <row r="48" spans="2:9" ht="21.75" customHeight="1" x14ac:dyDescent="0.25">
      <c r="B48" s="188"/>
      <c r="C48" s="202">
        <v>8</v>
      </c>
      <c r="D48" s="208" t="s">
        <v>264</v>
      </c>
      <c r="E48" s="208" t="s">
        <v>263</v>
      </c>
      <c r="H48" s="175" t="str">
        <f t="shared" si="0"/>
        <v>Pleton Inti</v>
      </c>
    </row>
    <row r="49" spans="2:8" ht="21.75" customHeight="1" x14ac:dyDescent="0.25">
      <c r="B49" s="188"/>
      <c r="C49" s="202">
        <v>9</v>
      </c>
      <c r="D49" s="208" t="s">
        <v>278</v>
      </c>
      <c r="E49" s="208" t="s">
        <v>295</v>
      </c>
      <c r="H49" s="175" t="str">
        <f t="shared" si="0"/>
        <v>Patroli Keamanan Sekolah</v>
      </c>
    </row>
    <row r="50" spans="2:8" ht="21.75" customHeight="1" x14ac:dyDescent="0.25">
      <c r="B50" s="188"/>
      <c r="C50" s="202">
        <v>10</v>
      </c>
      <c r="D50" s="208" t="s">
        <v>279</v>
      </c>
      <c r="E50" s="208" t="s">
        <v>262</v>
      </c>
      <c r="H50" s="175" t="str">
        <f t="shared" si="0"/>
        <v>Saka Bhayangkara</v>
      </c>
    </row>
    <row r="51" spans="2:8" ht="21.75" customHeight="1" x14ac:dyDescent="0.25">
      <c r="B51" s="188"/>
      <c r="C51" s="202">
        <v>11</v>
      </c>
      <c r="D51" s="208" t="s">
        <v>193</v>
      </c>
      <c r="E51" s="208" t="s">
        <v>193</v>
      </c>
      <c r="H51" s="175" t="str">
        <f t="shared" si="0"/>
        <v>Paduan Suara</v>
      </c>
    </row>
    <row r="52" spans="2:8" ht="21.75" customHeight="1" x14ac:dyDescent="0.25">
      <c r="B52" s="188"/>
      <c r="C52" s="202">
        <v>12</v>
      </c>
      <c r="D52" s="208" t="s">
        <v>200</v>
      </c>
      <c r="E52" s="208" t="s">
        <v>200</v>
      </c>
      <c r="H52" s="175" t="str">
        <f t="shared" si="0"/>
        <v>Band</v>
      </c>
    </row>
    <row r="53" spans="2:8" ht="21.75" customHeight="1" x14ac:dyDescent="0.25">
      <c r="B53" s="188"/>
      <c r="C53" s="202">
        <v>13</v>
      </c>
      <c r="D53" s="208" t="s">
        <v>280</v>
      </c>
      <c r="E53" s="208" t="s">
        <v>289</v>
      </c>
      <c r="H53" s="175" t="str">
        <f t="shared" si="0"/>
        <v>Tari dan Drama</v>
      </c>
    </row>
    <row r="54" spans="2:8" ht="21.75" customHeight="1" x14ac:dyDescent="0.25">
      <c r="B54" s="188"/>
      <c r="C54" s="202">
        <v>14</v>
      </c>
      <c r="D54" s="208" t="s">
        <v>281</v>
      </c>
      <c r="E54" s="208" t="s">
        <v>288</v>
      </c>
      <c r="H54" s="175" t="str">
        <f t="shared" si="0"/>
        <v>Musik Hadroh</v>
      </c>
    </row>
    <row r="55" spans="2:8" ht="21.75" customHeight="1" x14ac:dyDescent="0.25">
      <c r="B55" s="188"/>
      <c r="C55" s="202">
        <v>15</v>
      </c>
      <c r="D55" s="208" t="s">
        <v>282</v>
      </c>
      <c r="E55" s="208" t="s">
        <v>290</v>
      </c>
      <c r="H55" s="175" t="str">
        <f t="shared" si="0"/>
        <v>Prima Suara Radio</v>
      </c>
    </row>
    <row r="56" spans="2:8" ht="21.75" customHeight="1" x14ac:dyDescent="0.25">
      <c r="B56" s="188"/>
      <c r="C56" s="202">
        <v>16</v>
      </c>
      <c r="D56" s="208" t="s">
        <v>266</v>
      </c>
      <c r="E56" s="208" t="s">
        <v>265</v>
      </c>
      <c r="H56" s="175" t="str">
        <f t="shared" si="0"/>
        <v>Karya Ilmiah Remaja</v>
      </c>
    </row>
    <row r="57" spans="2:8" ht="21.75" customHeight="1" x14ac:dyDescent="0.25">
      <c r="B57" s="188"/>
      <c r="C57" s="202">
        <v>17</v>
      </c>
      <c r="D57" s="208" t="s">
        <v>283</v>
      </c>
      <c r="E57" s="208" t="s">
        <v>291</v>
      </c>
      <c r="H57" s="175" t="str">
        <f t="shared" si="0"/>
        <v>Palang Merah Remaja</v>
      </c>
    </row>
    <row r="58" spans="2:8" ht="21.75" customHeight="1" x14ac:dyDescent="0.25">
      <c r="B58" s="188"/>
      <c r="C58" s="202">
        <v>18</v>
      </c>
      <c r="D58" s="208" t="s">
        <v>739</v>
      </c>
      <c r="E58" s="208" t="s">
        <v>739</v>
      </c>
      <c r="H58" s="175" t="str">
        <f t="shared" si="0"/>
        <v>DKM</v>
      </c>
    </row>
    <row r="59" spans="2:8" ht="21.75" customHeight="1" x14ac:dyDescent="0.25">
      <c r="B59" s="188"/>
      <c r="C59" s="202">
        <v>19</v>
      </c>
      <c r="D59" s="208" t="s">
        <v>284</v>
      </c>
      <c r="E59" s="208" t="s">
        <v>292</v>
      </c>
      <c r="H59" s="175" t="str">
        <f t="shared" si="0"/>
        <v>Kerohanian Islam</v>
      </c>
    </row>
    <row r="60" spans="2:8" ht="21.75" customHeight="1" x14ac:dyDescent="0.25">
      <c r="B60" s="188"/>
      <c r="C60" s="202">
        <v>20</v>
      </c>
      <c r="D60" s="208" t="s">
        <v>312</v>
      </c>
      <c r="E60" s="208" t="s">
        <v>313</v>
      </c>
      <c r="H60" s="175" t="str">
        <f t="shared" si="0"/>
        <v>Perisai Diri</v>
      </c>
    </row>
    <row r="61" spans="2:8" ht="21.75" customHeight="1" x14ac:dyDescent="0.25">
      <c r="B61" s="188"/>
      <c r="C61" s="202">
        <v>21</v>
      </c>
      <c r="D61" s="208" t="s">
        <v>285</v>
      </c>
      <c r="E61" s="208" t="s">
        <v>294</v>
      </c>
      <c r="H61" s="175" t="str">
        <f t="shared" si="0"/>
        <v>Company Programme</v>
      </c>
    </row>
    <row r="62" spans="2:8" ht="21.75" customHeight="1" x14ac:dyDescent="0.25">
      <c r="B62" s="191"/>
      <c r="C62" s="202">
        <v>22</v>
      </c>
      <c r="D62" s="208" t="s">
        <v>286</v>
      </c>
      <c r="E62" s="208" t="s">
        <v>293</v>
      </c>
      <c r="H62" s="175" t="str">
        <f t="shared" si="0"/>
        <v>English Speaking Club</v>
      </c>
    </row>
    <row r="65" spans="2:3" ht="24.75" customHeight="1" x14ac:dyDescent="0.25">
      <c r="B65" s="395" t="s">
        <v>180</v>
      </c>
      <c r="C65" s="395"/>
    </row>
  </sheetData>
  <sheetProtection selectLockedCells="1"/>
  <mergeCells count="1">
    <mergeCell ref="B65:C65"/>
  </mergeCells>
  <hyperlinks>
    <hyperlink ref="B65:C65" location="'RK2013'!A1" display="Kembali Ke Halaman Menu Utama"/>
  </hyperlinks>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FF00"/>
  </sheetPr>
  <dimension ref="B1:CP48"/>
  <sheetViews>
    <sheetView showGridLines="0" showRowColHeaders="0" zoomScale="71" zoomScaleNormal="71" workbookViewId="0">
      <pane xSplit="4" ySplit="5" topLeftCell="CJ17" activePane="bottomRight" state="frozen"/>
      <selection activeCell="B33" sqref="B33:C33"/>
      <selection pane="topRight" activeCell="B33" sqref="B33:C33"/>
      <selection pane="bottomLeft" activeCell="B33" sqref="B33:C33"/>
      <selection pane="bottomRight" activeCell="CO17" sqref="CO17"/>
    </sheetView>
  </sheetViews>
  <sheetFormatPr defaultRowHeight="15" x14ac:dyDescent="0.25"/>
  <cols>
    <col min="1" max="1" width="9" customWidth="1"/>
    <col min="2" max="2" width="5.140625" customWidth="1"/>
    <col min="3" max="3" width="7.7109375" customWidth="1"/>
    <col min="4" max="4" width="29.7109375" customWidth="1"/>
    <col min="5" max="39" width="30.7109375" style="46" customWidth="1"/>
    <col min="40" max="40" width="30.28515625" style="46" customWidth="1"/>
    <col min="41" max="91" width="30.7109375" style="46" customWidth="1"/>
    <col min="92" max="92" width="42.5703125" style="46" customWidth="1"/>
    <col min="93" max="94" width="36.5703125" style="47" customWidth="1"/>
  </cols>
  <sheetData>
    <row r="1" spans="2:94" ht="45.75" customHeight="1" x14ac:dyDescent="0.25"/>
    <row r="2" spans="2:94" ht="54.75" customHeight="1" x14ac:dyDescent="0.25">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row>
    <row r="3" spans="2:94" ht="25.5" customHeight="1" x14ac:dyDescent="0.25">
      <c r="B3" s="108"/>
      <c r="C3" s="108"/>
      <c r="D3" s="108"/>
      <c r="E3" s="402" t="s">
        <v>214</v>
      </c>
      <c r="F3" s="402"/>
      <c r="G3" s="402"/>
      <c r="H3" s="402"/>
      <c r="I3" s="402"/>
      <c r="J3" s="402"/>
      <c r="K3" s="402"/>
      <c r="L3" s="402"/>
      <c r="M3" s="402"/>
      <c r="N3" s="402"/>
      <c r="O3" s="402"/>
      <c r="P3" s="402"/>
      <c r="Q3" s="402"/>
      <c r="R3" s="402"/>
      <c r="S3" s="402"/>
      <c r="T3" s="402"/>
      <c r="U3" s="402"/>
      <c r="V3" s="402"/>
      <c r="W3" s="400" t="s">
        <v>213</v>
      </c>
      <c r="X3" s="400"/>
      <c r="Y3" s="400"/>
      <c r="Z3" s="400"/>
      <c r="AA3" s="400"/>
      <c r="AB3" s="400"/>
      <c r="AC3" s="400"/>
      <c r="AD3" s="400"/>
      <c r="AE3" s="400"/>
      <c r="AF3" s="419" t="s">
        <v>211</v>
      </c>
      <c r="AG3" s="420"/>
      <c r="AH3" s="420"/>
      <c r="AI3" s="420"/>
      <c r="AJ3" s="420"/>
      <c r="AK3" s="420"/>
      <c r="AL3" s="420"/>
      <c r="AM3" s="420"/>
      <c r="AN3" s="420"/>
      <c r="AO3" s="420"/>
      <c r="AP3" s="420"/>
      <c r="AQ3" s="420"/>
      <c r="AR3" s="420"/>
      <c r="AS3" s="420"/>
      <c r="AT3" s="420"/>
      <c r="AU3" s="420"/>
      <c r="AV3" s="420"/>
      <c r="AW3" s="421"/>
      <c r="AX3" s="403" t="s">
        <v>212</v>
      </c>
      <c r="AY3" s="403"/>
      <c r="AZ3" s="403"/>
      <c r="BA3" s="403"/>
      <c r="BB3" s="403"/>
      <c r="BC3" s="403"/>
      <c r="BD3" s="403"/>
      <c r="BE3" s="403"/>
      <c r="BF3" s="403"/>
      <c r="BG3" s="403"/>
      <c r="BH3" s="403"/>
      <c r="BI3" s="403"/>
      <c r="BJ3" s="403"/>
      <c r="BK3" s="403"/>
      <c r="BL3" s="403"/>
      <c r="BM3" s="266"/>
      <c r="BN3" s="266"/>
      <c r="BO3" s="266"/>
      <c r="BP3" s="419" t="s">
        <v>210</v>
      </c>
      <c r="BQ3" s="420"/>
      <c r="BR3" s="420"/>
      <c r="BS3" s="420"/>
      <c r="BT3" s="420"/>
      <c r="BU3" s="420"/>
      <c r="BV3" s="420"/>
      <c r="BW3" s="420"/>
      <c r="BX3" s="420"/>
      <c r="BY3" s="420"/>
      <c r="BZ3" s="420"/>
      <c r="CA3" s="420"/>
      <c r="CB3" s="420"/>
      <c r="CC3" s="420"/>
      <c r="CD3" s="420"/>
      <c r="CE3" s="420"/>
      <c r="CF3" s="420"/>
      <c r="CG3" s="421"/>
      <c r="CH3" s="416" t="s">
        <v>209</v>
      </c>
      <c r="CI3" s="417"/>
      <c r="CJ3" s="417"/>
      <c r="CK3" s="417"/>
      <c r="CL3" s="417"/>
      <c r="CM3" s="418"/>
      <c r="CN3" s="413" t="s">
        <v>208</v>
      </c>
      <c r="CO3" s="400" t="s">
        <v>165</v>
      </c>
      <c r="CP3" s="400"/>
    </row>
    <row r="4" spans="2:94" ht="15" customHeight="1" x14ac:dyDescent="0.25">
      <c r="B4" s="107" t="s">
        <v>18</v>
      </c>
      <c r="C4" s="107" t="s">
        <v>27</v>
      </c>
      <c r="D4" s="107" t="s">
        <v>19</v>
      </c>
      <c r="E4" s="406" t="str">
        <f>Mata_Pelajaran!E4</f>
        <v>Agama</v>
      </c>
      <c r="F4" s="401"/>
      <c r="G4" s="407"/>
      <c r="H4" s="409" t="str">
        <f>Mata_Pelajaran!E5</f>
        <v>PPKn</v>
      </c>
      <c r="I4" s="410"/>
      <c r="J4" s="411"/>
      <c r="K4" s="406" t="str">
        <f>Mata_Pelajaran!E6</f>
        <v>B. Indonesia</v>
      </c>
      <c r="L4" s="412"/>
      <c r="M4" s="407"/>
      <c r="N4" s="409" t="str">
        <f>Mata_Pelajaran!E7</f>
        <v>Matematika</v>
      </c>
      <c r="O4" s="410"/>
      <c r="P4" s="411"/>
      <c r="Q4" s="401" t="str">
        <f>Mata_Pelajaran!E8</f>
        <v>Sejarah</v>
      </c>
      <c r="R4" s="401"/>
      <c r="S4" s="401"/>
      <c r="T4" s="408" t="str">
        <f>Mata_Pelajaran!E9</f>
        <v>B. Inggris</v>
      </c>
      <c r="U4" s="408"/>
      <c r="V4" s="408"/>
      <c r="W4" s="401" t="str">
        <f>Mata_Pelajaran!E11</f>
        <v>Senibud</v>
      </c>
      <c r="X4" s="401"/>
      <c r="Y4" s="401"/>
      <c r="Z4" s="408" t="str">
        <f>Mata_Pelajaran!E12</f>
        <v>PJOK</v>
      </c>
      <c r="AA4" s="408"/>
      <c r="AB4" s="408"/>
      <c r="AC4" s="401" t="str">
        <f>Mata_Pelajaran!E13</f>
        <v>PKWU</v>
      </c>
      <c r="AD4" s="401"/>
      <c r="AE4" s="401"/>
      <c r="AF4" s="408" t="str">
        <f>Mata_Pelajaran!E15</f>
        <v>Fisika</v>
      </c>
      <c r="AG4" s="408"/>
      <c r="AH4" s="408"/>
      <c r="AI4" s="401" t="str">
        <f>Mata_Pelajaran!E16</f>
        <v>Siskom</v>
      </c>
      <c r="AJ4" s="401"/>
      <c r="AK4" s="401"/>
      <c r="AL4" s="408">
        <f>Mata_Pelajaran!E17</f>
        <v>0</v>
      </c>
      <c r="AM4" s="408"/>
      <c r="AN4" s="408"/>
      <c r="AO4" s="408">
        <f>Mata_Pelajaran!E18</f>
        <v>0</v>
      </c>
      <c r="AP4" s="408"/>
      <c r="AQ4" s="408"/>
      <c r="AR4" s="408">
        <f>Mata_Pelajaran!E19</f>
        <v>0</v>
      </c>
      <c r="AS4" s="408"/>
      <c r="AT4" s="408"/>
      <c r="AU4" s="408">
        <f>Mata_Pelajaran!E20</f>
        <v>0</v>
      </c>
      <c r="AV4" s="408"/>
      <c r="AW4" s="408"/>
      <c r="AX4" s="401" t="str">
        <f>Mata_Pelajaran!E21</f>
        <v>KT</v>
      </c>
      <c r="AY4" s="401"/>
      <c r="AZ4" s="401"/>
      <c r="BA4" s="408" t="str">
        <f>Mata_Pelajaran!E22</f>
        <v>RBJ</v>
      </c>
      <c r="BB4" s="408"/>
      <c r="BC4" s="408"/>
      <c r="BD4" s="401" t="str">
        <f>Mata_Pelajaran!E23</f>
        <v>KD</v>
      </c>
      <c r="BE4" s="401"/>
      <c r="BF4" s="401"/>
      <c r="BG4" s="408" t="str">
        <f>Mata_Pelajaran!E24</f>
        <v>PD</v>
      </c>
      <c r="BH4" s="408"/>
      <c r="BI4" s="408"/>
      <c r="BJ4" s="401" t="str">
        <f>Mata_Pelajaran!E25</f>
        <v>AS</v>
      </c>
      <c r="BK4" s="401"/>
      <c r="BL4" s="401"/>
      <c r="BM4" s="401" t="str">
        <f>Mata_Pelajaran!E26</f>
        <v>SOJ</v>
      </c>
      <c r="BN4" s="401"/>
      <c r="BO4" s="401"/>
      <c r="BP4" s="408">
        <f>Mata_Pelajaran!E27</f>
        <v>0</v>
      </c>
      <c r="BQ4" s="408"/>
      <c r="BR4" s="408"/>
      <c r="BS4" s="401">
        <f>Mata_Pelajaran!E28</f>
        <v>0</v>
      </c>
      <c r="BT4" s="401"/>
      <c r="BU4" s="401"/>
      <c r="BV4" s="408">
        <f>Mata_Pelajaran!E29</f>
        <v>0</v>
      </c>
      <c r="BW4" s="408"/>
      <c r="BX4" s="408"/>
      <c r="BY4" s="408">
        <f>Mata_Pelajaran!E30</f>
        <v>0</v>
      </c>
      <c r="BZ4" s="408"/>
      <c r="CA4" s="408"/>
      <c r="CB4" s="408">
        <f>Mata_Pelajaran!E31</f>
        <v>0</v>
      </c>
      <c r="CC4" s="408"/>
      <c r="CD4" s="408"/>
      <c r="CE4" s="408">
        <f>Mata_Pelajaran!E32</f>
        <v>0</v>
      </c>
      <c r="CF4" s="408"/>
      <c r="CG4" s="408"/>
      <c r="CH4" s="401" t="str">
        <f>Mata_Pelajaran!E34</f>
        <v>PLH</v>
      </c>
      <c r="CI4" s="401"/>
      <c r="CJ4" s="401"/>
      <c r="CK4" s="401">
        <f>Mata_Pelajaran!E35</f>
        <v>0</v>
      </c>
      <c r="CL4" s="401"/>
      <c r="CM4" s="401"/>
      <c r="CN4" s="414"/>
      <c r="CO4" s="404" t="s">
        <v>255</v>
      </c>
      <c r="CP4" s="404" t="s">
        <v>256</v>
      </c>
    </row>
    <row r="5" spans="2:94" x14ac:dyDescent="0.25">
      <c r="B5" s="109"/>
      <c r="C5" s="109"/>
      <c r="D5" s="109"/>
      <c r="E5" s="49" t="s">
        <v>122</v>
      </c>
      <c r="F5" s="50" t="s">
        <v>226</v>
      </c>
      <c r="G5" s="48" t="s">
        <v>227</v>
      </c>
      <c r="H5" s="49" t="s">
        <v>122</v>
      </c>
      <c r="I5" s="50" t="s">
        <v>226</v>
      </c>
      <c r="J5" s="48" t="s">
        <v>227</v>
      </c>
      <c r="K5" s="49" t="s">
        <v>122</v>
      </c>
      <c r="L5" s="50" t="s">
        <v>226</v>
      </c>
      <c r="M5" s="48" t="s">
        <v>227</v>
      </c>
      <c r="N5" s="49" t="s">
        <v>122</v>
      </c>
      <c r="O5" s="50" t="s">
        <v>226</v>
      </c>
      <c r="P5" s="48" t="s">
        <v>227</v>
      </c>
      <c r="Q5" s="49" t="s">
        <v>122</v>
      </c>
      <c r="R5" s="50" t="s">
        <v>226</v>
      </c>
      <c r="S5" s="48" t="s">
        <v>227</v>
      </c>
      <c r="T5" s="49" t="s">
        <v>122</v>
      </c>
      <c r="U5" s="50" t="s">
        <v>226</v>
      </c>
      <c r="V5" s="48" t="s">
        <v>227</v>
      </c>
      <c r="W5" s="49" t="s">
        <v>122</v>
      </c>
      <c r="X5" s="50" t="s">
        <v>226</v>
      </c>
      <c r="Y5" s="48" t="s">
        <v>227</v>
      </c>
      <c r="Z5" s="49" t="s">
        <v>122</v>
      </c>
      <c r="AA5" s="50" t="s">
        <v>226</v>
      </c>
      <c r="AB5" s="48" t="s">
        <v>227</v>
      </c>
      <c r="AC5" s="49" t="s">
        <v>122</v>
      </c>
      <c r="AD5" s="50" t="s">
        <v>226</v>
      </c>
      <c r="AE5" s="48" t="s">
        <v>227</v>
      </c>
      <c r="AF5" s="49" t="s">
        <v>122</v>
      </c>
      <c r="AG5" s="50" t="s">
        <v>226</v>
      </c>
      <c r="AH5" s="48" t="s">
        <v>227</v>
      </c>
      <c r="AI5" s="49" t="s">
        <v>122</v>
      </c>
      <c r="AJ5" s="50" t="s">
        <v>226</v>
      </c>
      <c r="AK5" s="48" t="s">
        <v>227</v>
      </c>
      <c r="AL5" s="49" t="s">
        <v>122</v>
      </c>
      <c r="AM5" s="50" t="s">
        <v>226</v>
      </c>
      <c r="AN5" s="48" t="s">
        <v>227</v>
      </c>
      <c r="AO5" s="48"/>
      <c r="AP5" s="48"/>
      <c r="AQ5" s="48"/>
      <c r="AR5" s="48"/>
      <c r="AS5" s="48"/>
      <c r="AT5" s="48"/>
      <c r="AU5" s="48"/>
      <c r="AV5" s="48"/>
      <c r="AW5" s="48"/>
      <c r="AX5" s="49" t="s">
        <v>122</v>
      </c>
      <c r="AY5" s="50" t="s">
        <v>226</v>
      </c>
      <c r="AZ5" s="48" t="s">
        <v>227</v>
      </c>
      <c r="BA5" s="49" t="s">
        <v>122</v>
      </c>
      <c r="BB5" s="50" t="s">
        <v>226</v>
      </c>
      <c r="BC5" s="48" t="s">
        <v>227</v>
      </c>
      <c r="BD5" s="49" t="s">
        <v>122</v>
      </c>
      <c r="BE5" s="50" t="s">
        <v>226</v>
      </c>
      <c r="BF5" s="48" t="s">
        <v>227</v>
      </c>
      <c r="BG5" s="49" t="s">
        <v>122</v>
      </c>
      <c r="BH5" s="50" t="s">
        <v>226</v>
      </c>
      <c r="BI5" s="48" t="s">
        <v>227</v>
      </c>
      <c r="BJ5" s="49" t="s">
        <v>122</v>
      </c>
      <c r="BK5" s="50" t="s">
        <v>226</v>
      </c>
      <c r="BL5" s="48" t="s">
        <v>227</v>
      </c>
      <c r="BM5" s="49" t="s">
        <v>122</v>
      </c>
      <c r="BN5" s="50" t="s">
        <v>226</v>
      </c>
      <c r="BO5" s="48" t="s">
        <v>227</v>
      </c>
      <c r="BP5" s="49" t="s">
        <v>122</v>
      </c>
      <c r="BQ5" s="50" t="s">
        <v>226</v>
      </c>
      <c r="BR5" s="48" t="s">
        <v>227</v>
      </c>
      <c r="BS5" s="49" t="s">
        <v>122</v>
      </c>
      <c r="BT5" s="50" t="s">
        <v>226</v>
      </c>
      <c r="BU5" s="48" t="s">
        <v>227</v>
      </c>
      <c r="BV5" s="49" t="s">
        <v>122</v>
      </c>
      <c r="BW5" s="50" t="s">
        <v>226</v>
      </c>
      <c r="BX5" s="48" t="s">
        <v>227</v>
      </c>
      <c r="BY5" s="49" t="s">
        <v>122</v>
      </c>
      <c r="BZ5" s="50" t="s">
        <v>226</v>
      </c>
      <c r="CA5" s="48" t="s">
        <v>227</v>
      </c>
      <c r="CB5" s="49" t="s">
        <v>122</v>
      </c>
      <c r="CC5" s="50" t="s">
        <v>226</v>
      </c>
      <c r="CD5" s="48" t="s">
        <v>227</v>
      </c>
      <c r="CE5" s="49" t="s">
        <v>122</v>
      </c>
      <c r="CF5" s="50" t="s">
        <v>226</v>
      </c>
      <c r="CG5" s="48" t="s">
        <v>227</v>
      </c>
      <c r="CH5" s="49" t="s">
        <v>122</v>
      </c>
      <c r="CI5" s="50" t="s">
        <v>226</v>
      </c>
      <c r="CJ5" s="48" t="s">
        <v>227</v>
      </c>
      <c r="CK5" s="49" t="s">
        <v>122</v>
      </c>
      <c r="CL5" s="50" t="s">
        <v>226</v>
      </c>
      <c r="CM5" s="48" t="s">
        <v>227</v>
      </c>
      <c r="CN5" s="415"/>
      <c r="CO5" s="405"/>
      <c r="CP5" s="405"/>
    </row>
    <row r="6" spans="2:94" s="74" customFormat="1" ht="50.1" customHeight="1" x14ac:dyDescent="0.25">
      <c r="B6" s="98">
        <v>1</v>
      </c>
      <c r="C6" s="75" t="str">
        <f>Peserta_Didik!D3</f>
        <v>1314.10.107</v>
      </c>
      <c r="D6" s="99" t="str">
        <f>Peserta_Didik!C3</f>
        <v>Alfa Andeka Aerlangga</v>
      </c>
      <c r="E6" s="380" t="s">
        <v>775</v>
      </c>
      <c r="F6" s="380" t="s">
        <v>776</v>
      </c>
      <c r="G6" s="225" t="s">
        <v>743</v>
      </c>
      <c r="H6" s="380" t="s">
        <v>781</v>
      </c>
      <c r="I6" s="380" t="s">
        <v>782</v>
      </c>
      <c r="J6" s="225" t="s">
        <v>743</v>
      </c>
      <c r="K6" s="380" t="s">
        <v>741</v>
      </c>
      <c r="L6" s="380" t="s">
        <v>742</v>
      </c>
      <c r="M6" s="225" t="s">
        <v>743</v>
      </c>
      <c r="N6" s="380" t="s">
        <v>748</v>
      </c>
      <c r="O6" s="380" t="s">
        <v>749</v>
      </c>
      <c r="P6" s="225" t="s">
        <v>743</v>
      </c>
      <c r="Q6" s="380" t="s">
        <v>757</v>
      </c>
      <c r="R6" s="380" t="s">
        <v>758</v>
      </c>
      <c r="S6" s="225" t="s">
        <v>743</v>
      </c>
      <c r="T6" s="380" t="s">
        <v>773</v>
      </c>
      <c r="U6" s="380" t="s">
        <v>774</v>
      </c>
      <c r="V6" s="225" t="s">
        <v>743</v>
      </c>
      <c r="W6" s="380" t="s">
        <v>787</v>
      </c>
      <c r="X6" s="380" t="s">
        <v>788</v>
      </c>
      <c r="Y6" s="225" t="s">
        <v>743</v>
      </c>
      <c r="Z6" s="380" t="s">
        <v>791</v>
      </c>
      <c r="AA6" s="380" t="s">
        <v>792</v>
      </c>
      <c r="AB6" s="225" t="s">
        <v>743</v>
      </c>
      <c r="AC6" s="380" t="s">
        <v>762</v>
      </c>
      <c r="AD6" s="380" t="s">
        <v>763</v>
      </c>
      <c r="AE6" s="225" t="s">
        <v>743</v>
      </c>
      <c r="AF6" s="380" t="s">
        <v>766</v>
      </c>
      <c r="AG6" s="380" t="s">
        <v>767</v>
      </c>
      <c r="AH6" s="225" t="s">
        <v>743</v>
      </c>
      <c r="AI6" s="380" t="s">
        <v>824</v>
      </c>
      <c r="AJ6" s="380" t="s">
        <v>825</v>
      </c>
      <c r="AK6" s="225" t="s">
        <v>743</v>
      </c>
      <c r="AL6" s="225"/>
      <c r="AM6" s="225"/>
      <c r="AN6" s="225"/>
      <c r="AO6" s="225"/>
      <c r="AP6" s="225"/>
      <c r="AQ6" s="225"/>
      <c r="AR6" s="225"/>
      <c r="AS6" s="225"/>
      <c r="AT6" s="225"/>
      <c r="AU6" s="225"/>
      <c r="AV6" s="225"/>
      <c r="AW6" s="225"/>
      <c r="AX6" s="380" t="s">
        <v>796</v>
      </c>
      <c r="AY6" s="380" t="s">
        <v>797</v>
      </c>
      <c r="AZ6" s="225" t="s">
        <v>743</v>
      </c>
      <c r="BA6" s="380" t="s">
        <v>828</v>
      </c>
      <c r="BB6" s="380" t="s">
        <v>829</v>
      </c>
      <c r="BC6" s="225" t="s">
        <v>743</v>
      </c>
      <c r="BD6" s="380" t="s">
        <v>800</v>
      </c>
      <c r="BE6" s="380" t="s">
        <v>801</v>
      </c>
      <c r="BF6" s="225" t="s">
        <v>743</v>
      </c>
      <c r="BG6" s="380" t="s">
        <v>804</v>
      </c>
      <c r="BH6" s="380" t="s">
        <v>805</v>
      </c>
      <c r="BI6" s="225" t="s">
        <v>743</v>
      </c>
      <c r="BJ6" s="380" t="s">
        <v>810</v>
      </c>
      <c r="BK6" s="380" t="s">
        <v>811</v>
      </c>
      <c r="BL6" s="225" t="s">
        <v>743</v>
      </c>
      <c r="BM6" s="380" t="s">
        <v>816</v>
      </c>
      <c r="BN6" s="380" t="s">
        <v>817</v>
      </c>
      <c r="BO6" s="225" t="s">
        <v>743</v>
      </c>
      <c r="BP6" s="225"/>
      <c r="BQ6" s="225"/>
      <c r="BR6" s="225"/>
      <c r="BS6" s="225"/>
      <c r="BT6" s="225"/>
      <c r="BU6" s="225"/>
      <c r="BV6" s="225"/>
      <c r="BW6" s="225"/>
      <c r="BX6" s="225"/>
      <c r="BY6" s="225"/>
      <c r="BZ6" s="225"/>
      <c r="CA6" s="225"/>
      <c r="CB6" s="225"/>
      <c r="CC6" s="225"/>
      <c r="CD6" s="225"/>
      <c r="CE6" s="225"/>
      <c r="CF6" s="225"/>
      <c r="CG6" s="225"/>
      <c r="CH6" s="380" t="s">
        <v>820</v>
      </c>
      <c r="CI6" s="380" t="s">
        <v>821</v>
      </c>
      <c r="CJ6" s="225" t="s">
        <v>743</v>
      </c>
      <c r="CK6" s="225"/>
      <c r="CL6" s="225"/>
      <c r="CM6" s="225"/>
      <c r="CN6" s="225" t="s">
        <v>835</v>
      </c>
      <c r="CO6" s="379"/>
      <c r="CP6" s="379"/>
    </row>
    <row r="7" spans="2:94" s="74" customFormat="1" ht="50.1" customHeight="1" x14ac:dyDescent="0.25">
      <c r="B7" s="98">
        <v>2</v>
      </c>
      <c r="C7" s="75" t="str">
        <f>Peserta_Didik!D4</f>
        <v>1314.10.108</v>
      </c>
      <c r="D7" s="99" t="str">
        <f>Peserta_Didik!C4</f>
        <v>Andi Setiawan</v>
      </c>
      <c r="E7" s="380" t="s">
        <v>777</v>
      </c>
      <c r="F7" s="380" t="s">
        <v>778</v>
      </c>
      <c r="G7" s="225" t="s">
        <v>747</v>
      </c>
      <c r="H7" s="380" t="s">
        <v>783</v>
      </c>
      <c r="I7" s="380" t="s">
        <v>784</v>
      </c>
      <c r="J7" s="225" t="s">
        <v>747</v>
      </c>
      <c r="K7" s="380" t="s">
        <v>744</v>
      </c>
      <c r="L7" s="380" t="s">
        <v>746</v>
      </c>
      <c r="M7" s="225" t="s">
        <v>747</v>
      </c>
      <c r="N7" s="380" t="s">
        <v>750</v>
      </c>
      <c r="O7" s="380" t="s">
        <v>751</v>
      </c>
      <c r="P7" s="225" t="s">
        <v>747</v>
      </c>
      <c r="Q7" s="380" t="s">
        <v>757</v>
      </c>
      <c r="R7" s="380" t="s">
        <v>759</v>
      </c>
      <c r="S7" s="225" t="s">
        <v>743</v>
      </c>
      <c r="T7" s="380" t="s">
        <v>773</v>
      </c>
      <c r="U7" s="380" t="s">
        <v>774</v>
      </c>
      <c r="V7" s="225" t="s">
        <v>747</v>
      </c>
      <c r="W7" s="380" t="s">
        <v>789</v>
      </c>
      <c r="X7" s="380" t="s">
        <v>790</v>
      </c>
      <c r="Y7" s="225" t="s">
        <v>743</v>
      </c>
      <c r="Z7" s="380" t="s">
        <v>793</v>
      </c>
      <c r="AA7" s="380" t="s">
        <v>792</v>
      </c>
      <c r="AB7" s="225" t="s">
        <v>743</v>
      </c>
      <c r="AC7" s="380" t="s">
        <v>764</v>
      </c>
      <c r="AD7" s="380" t="s">
        <v>763</v>
      </c>
      <c r="AE7" s="225" t="s">
        <v>743</v>
      </c>
      <c r="AF7" s="380" t="s">
        <v>768</v>
      </c>
      <c r="AG7" s="380" t="s">
        <v>769</v>
      </c>
      <c r="AH7" s="225" t="s">
        <v>747</v>
      </c>
      <c r="AI7" s="380" t="s">
        <v>826</v>
      </c>
      <c r="AJ7" s="380" t="s">
        <v>827</v>
      </c>
      <c r="AK7" s="225" t="s">
        <v>743</v>
      </c>
      <c r="AL7" s="225"/>
      <c r="AM7" s="225"/>
      <c r="AN7" s="225"/>
      <c r="AO7" s="225"/>
      <c r="AP7" s="225"/>
      <c r="AQ7" s="225"/>
      <c r="AR7" s="225"/>
      <c r="AS7" s="225"/>
      <c r="AT7" s="225"/>
      <c r="AU7" s="225"/>
      <c r="AV7" s="225"/>
      <c r="AW7" s="225"/>
      <c r="AX7" s="380" t="s">
        <v>798</v>
      </c>
      <c r="AY7" s="380" t="s">
        <v>799</v>
      </c>
      <c r="AZ7" s="225" t="s">
        <v>747</v>
      </c>
      <c r="BA7" s="380" t="s">
        <v>830</v>
      </c>
      <c r="BB7" s="380" t="s">
        <v>831</v>
      </c>
      <c r="BC7" s="225" t="s">
        <v>743</v>
      </c>
      <c r="BD7" s="380" t="s">
        <v>802</v>
      </c>
      <c r="BE7" s="380" t="s">
        <v>803</v>
      </c>
      <c r="BF7" s="225" t="s">
        <v>747</v>
      </c>
      <c r="BG7" s="380" t="s">
        <v>806</v>
      </c>
      <c r="BH7" s="380" t="s">
        <v>807</v>
      </c>
      <c r="BI7" s="225" t="s">
        <v>743</v>
      </c>
      <c r="BJ7" s="380" t="s">
        <v>812</v>
      </c>
      <c r="BK7" s="380" t="s">
        <v>813</v>
      </c>
      <c r="BL7" s="225" t="s">
        <v>743</v>
      </c>
      <c r="BM7" s="380" t="s">
        <v>818</v>
      </c>
      <c r="BN7" s="380" t="s">
        <v>817</v>
      </c>
      <c r="BO7" s="225" t="s">
        <v>747</v>
      </c>
      <c r="BP7" s="225"/>
      <c r="BQ7" s="225"/>
      <c r="BR7" s="225"/>
      <c r="BS7" s="225"/>
      <c r="BT7" s="225"/>
      <c r="BU7" s="225"/>
      <c r="BV7" s="225"/>
      <c r="BW7" s="225"/>
      <c r="BX7" s="225"/>
      <c r="BY7" s="225"/>
      <c r="BZ7" s="225"/>
      <c r="CA7" s="225"/>
      <c r="CB7" s="225"/>
      <c r="CC7" s="225"/>
      <c r="CD7" s="225"/>
      <c r="CE7" s="225"/>
      <c r="CF7" s="225"/>
      <c r="CG7" s="225"/>
      <c r="CH7" s="380" t="s">
        <v>822</v>
      </c>
      <c r="CI7" s="380" t="s">
        <v>821</v>
      </c>
      <c r="CJ7" s="225" t="s">
        <v>743</v>
      </c>
      <c r="CK7" s="225"/>
      <c r="CL7" s="225"/>
      <c r="CM7" s="225"/>
      <c r="CN7" s="225" t="s">
        <v>836</v>
      </c>
      <c r="CO7" s="225"/>
      <c r="CP7" s="225"/>
    </row>
    <row r="8" spans="2:94" s="74" customFormat="1" ht="50.1" customHeight="1" x14ac:dyDescent="0.25">
      <c r="B8" s="98">
        <v>3</v>
      </c>
      <c r="C8" s="75" t="str">
        <f>Peserta_Didik!D5</f>
        <v>1314.10.109</v>
      </c>
      <c r="D8" s="99" t="str">
        <f>Peserta_Didik!C5</f>
        <v>Andreas Rizki Rizaldi</v>
      </c>
      <c r="E8" s="380" t="s">
        <v>779</v>
      </c>
      <c r="F8" s="380" t="s">
        <v>776</v>
      </c>
      <c r="G8" s="225" t="s">
        <v>743</v>
      </c>
      <c r="H8" s="380" t="s">
        <v>781</v>
      </c>
      <c r="I8" s="380" t="s">
        <v>785</v>
      </c>
      <c r="J8" s="225" t="s">
        <v>743</v>
      </c>
      <c r="K8" s="380" t="s">
        <v>744</v>
      </c>
      <c r="L8" s="380" t="s">
        <v>742</v>
      </c>
      <c r="M8" s="225" t="s">
        <v>747</v>
      </c>
      <c r="N8" s="380" t="s">
        <v>748</v>
      </c>
      <c r="O8" s="380" t="s">
        <v>752</v>
      </c>
      <c r="P8" s="225" t="s">
        <v>743</v>
      </c>
      <c r="Q8" s="380" t="s">
        <v>757</v>
      </c>
      <c r="R8" s="380" t="s">
        <v>760</v>
      </c>
      <c r="S8" s="225" t="s">
        <v>743</v>
      </c>
      <c r="T8" s="380" t="s">
        <v>773</v>
      </c>
      <c r="U8" s="380" t="s">
        <v>774</v>
      </c>
      <c r="V8" s="225" t="s">
        <v>747</v>
      </c>
      <c r="W8" s="380" t="s">
        <v>787</v>
      </c>
      <c r="X8" s="380" t="s">
        <v>788</v>
      </c>
      <c r="Y8" s="225" t="s">
        <v>743</v>
      </c>
      <c r="Z8" s="380" t="s">
        <v>793</v>
      </c>
      <c r="AA8" s="380" t="s">
        <v>794</v>
      </c>
      <c r="AB8" s="225" t="s">
        <v>743</v>
      </c>
      <c r="AC8" s="380" t="s">
        <v>762</v>
      </c>
      <c r="AD8" s="380" t="s">
        <v>763</v>
      </c>
      <c r="AE8" s="225" t="s">
        <v>743</v>
      </c>
      <c r="AF8" s="380" t="s">
        <v>770</v>
      </c>
      <c r="AG8" s="380" t="s">
        <v>767</v>
      </c>
      <c r="AH8" s="225" t="s">
        <v>743</v>
      </c>
      <c r="AI8" s="380" t="s">
        <v>826</v>
      </c>
      <c r="AJ8" s="380" t="s">
        <v>827</v>
      </c>
      <c r="AK8" s="225" t="s">
        <v>743</v>
      </c>
      <c r="AL8" s="225"/>
      <c r="AM8" s="225"/>
      <c r="AN8" s="225"/>
      <c r="AO8" s="225"/>
      <c r="AP8" s="225"/>
      <c r="AQ8" s="225"/>
      <c r="AR8" s="225"/>
      <c r="AS8" s="225"/>
      <c r="AT8" s="225"/>
      <c r="AU8" s="225"/>
      <c r="AV8" s="225"/>
      <c r="AW8" s="225"/>
      <c r="AX8" s="380" t="s">
        <v>796</v>
      </c>
      <c r="AY8" s="380" t="s">
        <v>799</v>
      </c>
      <c r="AZ8" s="225" t="s">
        <v>743</v>
      </c>
      <c r="BA8" s="380" t="s">
        <v>830</v>
      </c>
      <c r="BB8" s="380" t="s">
        <v>831</v>
      </c>
      <c r="BC8" s="225" t="s">
        <v>743</v>
      </c>
      <c r="BD8" s="380" t="s">
        <v>802</v>
      </c>
      <c r="BE8" s="380" t="s">
        <v>803</v>
      </c>
      <c r="BF8" s="225" t="s">
        <v>743</v>
      </c>
      <c r="BG8" s="380" t="s">
        <v>806</v>
      </c>
      <c r="BH8" s="380" t="s">
        <v>808</v>
      </c>
      <c r="BI8" s="225" t="s">
        <v>743</v>
      </c>
      <c r="BJ8" s="380" t="s">
        <v>812</v>
      </c>
      <c r="BK8" s="380" t="s">
        <v>814</v>
      </c>
      <c r="BL8" s="225" t="s">
        <v>743</v>
      </c>
      <c r="BM8" s="380" t="s">
        <v>818</v>
      </c>
      <c r="BN8" s="380" t="s">
        <v>817</v>
      </c>
      <c r="BO8" s="225" t="s">
        <v>743</v>
      </c>
      <c r="BP8" s="225"/>
      <c r="BQ8" s="225"/>
      <c r="BR8" s="225"/>
      <c r="BS8" s="225"/>
      <c r="BT8" s="225"/>
      <c r="BU8" s="225"/>
      <c r="BV8" s="225"/>
      <c r="BW8" s="225"/>
      <c r="BX8" s="225"/>
      <c r="BY8" s="225"/>
      <c r="BZ8" s="225"/>
      <c r="CA8" s="225"/>
      <c r="CB8" s="225"/>
      <c r="CC8" s="225"/>
      <c r="CD8" s="225"/>
      <c r="CE8" s="225"/>
      <c r="CF8" s="225"/>
      <c r="CG8" s="225"/>
      <c r="CH8" s="380" t="s">
        <v>820</v>
      </c>
      <c r="CI8" s="380" t="s">
        <v>821</v>
      </c>
      <c r="CJ8" s="225" t="s">
        <v>743</v>
      </c>
      <c r="CK8" s="225"/>
      <c r="CL8" s="225"/>
      <c r="CM8" s="225"/>
      <c r="CN8" s="225" t="s">
        <v>836</v>
      </c>
      <c r="CO8" s="225"/>
      <c r="CP8" s="225"/>
    </row>
    <row r="9" spans="2:94" s="74" customFormat="1" ht="50.1" customHeight="1" x14ac:dyDescent="0.25">
      <c r="B9" s="98">
        <v>4</v>
      </c>
      <c r="C9" s="75" t="str">
        <f>Peserta_Didik!D6</f>
        <v>1314.10.110</v>
      </c>
      <c r="D9" s="99" t="str">
        <f>Peserta_Didik!C6</f>
        <v>Arif Setya Permana</v>
      </c>
      <c r="E9" s="380" t="s">
        <v>779</v>
      </c>
      <c r="F9" s="380" t="s">
        <v>776</v>
      </c>
      <c r="G9" s="225" t="s">
        <v>743</v>
      </c>
      <c r="H9" s="380" t="s">
        <v>786</v>
      </c>
      <c r="I9" s="380" t="s">
        <v>785</v>
      </c>
      <c r="J9" s="225" t="s">
        <v>743</v>
      </c>
      <c r="K9" s="380" t="s">
        <v>744</v>
      </c>
      <c r="L9" s="380" t="s">
        <v>742</v>
      </c>
      <c r="M9" s="225" t="s">
        <v>743</v>
      </c>
      <c r="N9" s="380" t="s">
        <v>748</v>
      </c>
      <c r="O9" s="380" t="s">
        <v>749</v>
      </c>
      <c r="P9" s="225" t="s">
        <v>743</v>
      </c>
      <c r="Q9" s="380" t="s">
        <v>761</v>
      </c>
      <c r="R9" s="380" t="s">
        <v>760</v>
      </c>
      <c r="S9" s="225" t="s">
        <v>743</v>
      </c>
      <c r="T9" s="380" t="s">
        <v>773</v>
      </c>
      <c r="U9" s="380" t="s">
        <v>774</v>
      </c>
      <c r="V9" s="225" t="s">
        <v>743</v>
      </c>
      <c r="W9" s="380" t="s">
        <v>787</v>
      </c>
      <c r="X9" s="380" t="s">
        <v>788</v>
      </c>
      <c r="Y9" s="225" t="s">
        <v>743</v>
      </c>
      <c r="Z9" s="380" t="s">
        <v>793</v>
      </c>
      <c r="AA9" s="380" t="s">
        <v>794</v>
      </c>
      <c r="AB9" s="225" t="s">
        <v>743</v>
      </c>
      <c r="AC9" s="380" t="s">
        <v>762</v>
      </c>
      <c r="AD9" s="380" t="s">
        <v>763</v>
      </c>
      <c r="AE9" s="225" t="s">
        <v>743</v>
      </c>
      <c r="AF9" s="380" t="s">
        <v>770</v>
      </c>
      <c r="AG9" s="380" t="s">
        <v>767</v>
      </c>
      <c r="AH9" s="225" t="s">
        <v>747</v>
      </c>
      <c r="AI9" s="380" t="s">
        <v>824</v>
      </c>
      <c r="AJ9" s="380" t="s">
        <v>827</v>
      </c>
      <c r="AK9" s="225" t="s">
        <v>743</v>
      </c>
      <c r="AL9" s="225"/>
      <c r="AM9" s="225"/>
      <c r="AN9" s="225"/>
      <c r="AO9" s="225"/>
      <c r="AP9" s="225"/>
      <c r="AQ9" s="225"/>
      <c r="AR9" s="225"/>
      <c r="AS9" s="225"/>
      <c r="AT9" s="225"/>
      <c r="AU9" s="225"/>
      <c r="AV9" s="225"/>
      <c r="AW9" s="225"/>
      <c r="AX9" s="380" t="s">
        <v>798</v>
      </c>
      <c r="AY9" s="380" t="s">
        <v>799</v>
      </c>
      <c r="AZ9" s="225" t="s">
        <v>743</v>
      </c>
      <c r="BA9" s="380" t="s">
        <v>828</v>
      </c>
      <c r="BB9" s="380" t="s">
        <v>831</v>
      </c>
      <c r="BC9" s="225" t="s">
        <v>743</v>
      </c>
      <c r="BD9" s="380" t="s">
        <v>802</v>
      </c>
      <c r="BE9" s="380" t="s">
        <v>803</v>
      </c>
      <c r="BF9" s="225" t="s">
        <v>743</v>
      </c>
      <c r="BG9" s="380" t="s">
        <v>809</v>
      </c>
      <c r="BH9" s="380" t="s">
        <v>807</v>
      </c>
      <c r="BI9" s="225" t="s">
        <v>743</v>
      </c>
      <c r="BJ9" s="380" t="s">
        <v>810</v>
      </c>
      <c r="BK9" s="380" t="s">
        <v>811</v>
      </c>
      <c r="BL9" s="225" t="s">
        <v>743</v>
      </c>
      <c r="BM9" s="380" t="s">
        <v>818</v>
      </c>
      <c r="BN9" s="380" t="s">
        <v>817</v>
      </c>
      <c r="BO9" s="225" t="s">
        <v>743</v>
      </c>
      <c r="BP9" s="225"/>
      <c r="BQ9" s="225"/>
      <c r="BR9" s="225"/>
      <c r="BS9" s="225"/>
      <c r="BT9" s="225"/>
      <c r="BU9" s="225"/>
      <c r="BV9" s="225"/>
      <c r="BW9" s="225"/>
      <c r="BX9" s="225"/>
      <c r="BY9" s="225"/>
      <c r="BZ9" s="225"/>
      <c r="CA9" s="225"/>
      <c r="CB9" s="225"/>
      <c r="CC9" s="225"/>
      <c r="CD9" s="225"/>
      <c r="CE9" s="225"/>
      <c r="CF9" s="225"/>
      <c r="CG9" s="225"/>
      <c r="CH9" s="380" t="s">
        <v>820</v>
      </c>
      <c r="CI9" s="380" t="s">
        <v>821</v>
      </c>
      <c r="CJ9" s="225" t="s">
        <v>743</v>
      </c>
      <c r="CK9" s="225"/>
      <c r="CL9" s="225"/>
      <c r="CM9" s="225"/>
      <c r="CN9" s="225" t="s">
        <v>836</v>
      </c>
      <c r="CO9" s="225"/>
      <c r="CP9" s="225" t="s">
        <v>833</v>
      </c>
    </row>
    <row r="10" spans="2:94" s="74" customFormat="1" ht="50.1" customHeight="1" x14ac:dyDescent="0.25">
      <c r="B10" s="98">
        <v>5</v>
      </c>
      <c r="C10" s="75" t="str">
        <f>Peserta_Didik!D7</f>
        <v>1314.10.111</v>
      </c>
      <c r="D10" s="99" t="str">
        <f>Peserta_Didik!C7</f>
        <v>Cecep Solehudin</v>
      </c>
      <c r="E10" s="380" t="s">
        <v>779</v>
      </c>
      <c r="F10" s="380" t="s">
        <v>776</v>
      </c>
      <c r="G10" s="225" t="s">
        <v>743</v>
      </c>
      <c r="H10" s="380" t="s">
        <v>786</v>
      </c>
      <c r="I10" s="380" t="s">
        <v>785</v>
      </c>
      <c r="J10" s="225" t="s">
        <v>743</v>
      </c>
      <c r="K10" s="380" t="s">
        <v>744</v>
      </c>
      <c r="L10" s="380" t="s">
        <v>742</v>
      </c>
      <c r="M10" s="225" t="s">
        <v>743</v>
      </c>
      <c r="N10" s="380" t="s">
        <v>753</v>
      </c>
      <c r="O10" s="380" t="s">
        <v>752</v>
      </c>
      <c r="P10" s="225" t="s">
        <v>743</v>
      </c>
      <c r="Q10" s="380" t="s">
        <v>757</v>
      </c>
      <c r="R10" s="380" t="s">
        <v>760</v>
      </c>
      <c r="S10" s="225" t="s">
        <v>743</v>
      </c>
      <c r="T10" s="380" t="s">
        <v>773</v>
      </c>
      <c r="U10" s="380" t="s">
        <v>774</v>
      </c>
      <c r="V10" s="225" t="s">
        <v>743</v>
      </c>
      <c r="W10" s="380" t="s">
        <v>787</v>
      </c>
      <c r="X10" s="380" t="s">
        <v>788</v>
      </c>
      <c r="Y10" s="225" t="s">
        <v>743</v>
      </c>
      <c r="Z10" s="380" t="s">
        <v>793</v>
      </c>
      <c r="AA10" s="380" t="s">
        <v>794</v>
      </c>
      <c r="AB10" s="225" t="s">
        <v>743</v>
      </c>
      <c r="AC10" s="380" t="s">
        <v>762</v>
      </c>
      <c r="AD10" s="380" t="s">
        <v>763</v>
      </c>
      <c r="AE10" s="225" t="s">
        <v>743</v>
      </c>
      <c r="AF10" s="380" t="s">
        <v>770</v>
      </c>
      <c r="AG10" s="380" t="s">
        <v>767</v>
      </c>
      <c r="AH10" s="225" t="s">
        <v>743</v>
      </c>
      <c r="AI10" s="380" t="s">
        <v>826</v>
      </c>
      <c r="AJ10" s="380" t="s">
        <v>827</v>
      </c>
      <c r="AK10" s="225" t="s">
        <v>743</v>
      </c>
      <c r="AL10" s="225"/>
      <c r="AM10" s="225"/>
      <c r="AN10" s="225"/>
      <c r="AO10" s="225"/>
      <c r="AP10" s="225"/>
      <c r="AQ10" s="225"/>
      <c r="AR10" s="225"/>
      <c r="AS10" s="225"/>
      <c r="AT10" s="225"/>
      <c r="AU10" s="225"/>
      <c r="AV10" s="225"/>
      <c r="AW10" s="225"/>
      <c r="AX10" s="380" t="s">
        <v>798</v>
      </c>
      <c r="AY10" s="380" t="s">
        <v>799</v>
      </c>
      <c r="AZ10" s="225" t="s">
        <v>743</v>
      </c>
      <c r="BA10" s="380" t="s">
        <v>830</v>
      </c>
      <c r="BB10" s="380" t="s">
        <v>831</v>
      </c>
      <c r="BC10" s="225" t="s">
        <v>743</v>
      </c>
      <c r="BD10" s="380" t="s">
        <v>800</v>
      </c>
      <c r="BE10" s="380" t="s">
        <v>803</v>
      </c>
      <c r="BF10" s="225" t="s">
        <v>747</v>
      </c>
      <c r="BG10" s="380" t="s">
        <v>809</v>
      </c>
      <c r="BH10" s="380" t="s">
        <v>807</v>
      </c>
      <c r="BI10" s="225" t="s">
        <v>743</v>
      </c>
      <c r="BJ10" s="380" t="s">
        <v>815</v>
      </c>
      <c r="BK10" s="380" t="s">
        <v>813</v>
      </c>
      <c r="BL10" s="225" t="s">
        <v>743</v>
      </c>
      <c r="BM10" s="380" t="s">
        <v>818</v>
      </c>
      <c r="BN10" s="380" t="s">
        <v>817</v>
      </c>
      <c r="BO10" s="225" t="s">
        <v>747</v>
      </c>
      <c r="BP10" s="225"/>
      <c r="BQ10" s="225"/>
      <c r="BR10" s="225"/>
      <c r="BS10" s="225"/>
      <c r="BT10" s="225"/>
      <c r="BU10" s="225"/>
      <c r="BV10" s="225"/>
      <c r="BW10" s="225"/>
      <c r="BX10" s="225"/>
      <c r="BY10" s="225"/>
      <c r="BZ10" s="225"/>
      <c r="CA10" s="225"/>
      <c r="CB10" s="225"/>
      <c r="CC10" s="225"/>
      <c r="CD10" s="225"/>
      <c r="CE10" s="225"/>
      <c r="CF10" s="225"/>
      <c r="CG10" s="225"/>
      <c r="CH10" s="380" t="s">
        <v>820</v>
      </c>
      <c r="CI10" s="380" t="s">
        <v>821</v>
      </c>
      <c r="CJ10" s="225" t="s">
        <v>743</v>
      </c>
      <c r="CK10" s="225"/>
      <c r="CL10" s="225"/>
      <c r="CM10" s="225"/>
      <c r="CN10" s="225" t="s">
        <v>836</v>
      </c>
      <c r="CO10" s="225" t="s">
        <v>834</v>
      </c>
      <c r="CP10" s="225"/>
    </row>
    <row r="11" spans="2:94" s="74" customFormat="1" ht="50.1" customHeight="1" x14ac:dyDescent="0.25">
      <c r="B11" s="98">
        <v>6</v>
      </c>
      <c r="C11" s="75" t="str">
        <f>Peserta_Didik!D8</f>
        <v>1314.10.112</v>
      </c>
      <c r="D11" s="99" t="str">
        <f>Peserta_Didik!C8</f>
        <v>Cepy Septiahadi</v>
      </c>
      <c r="E11" s="380" t="s">
        <v>779</v>
      </c>
      <c r="F11" s="380" t="s">
        <v>776</v>
      </c>
      <c r="G11" s="225" t="s">
        <v>743</v>
      </c>
      <c r="H11" s="380" t="s">
        <v>786</v>
      </c>
      <c r="I11" s="380" t="s">
        <v>785</v>
      </c>
      <c r="J11" s="225" t="s">
        <v>743</v>
      </c>
      <c r="K11" s="380" t="s">
        <v>741</v>
      </c>
      <c r="L11" s="380" t="s">
        <v>742</v>
      </c>
      <c r="M11" s="225" t="s">
        <v>743</v>
      </c>
      <c r="N11" s="380" t="s">
        <v>748</v>
      </c>
      <c r="O11" s="380" t="s">
        <v>749</v>
      </c>
      <c r="P11" s="225" t="s">
        <v>743</v>
      </c>
      <c r="Q11" s="380" t="s">
        <v>761</v>
      </c>
      <c r="R11" s="380" t="s">
        <v>758</v>
      </c>
      <c r="S11" s="225" t="s">
        <v>743</v>
      </c>
      <c r="T11" s="380" t="s">
        <v>773</v>
      </c>
      <c r="U11" s="380" t="s">
        <v>774</v>
      </c>
      <c r="V11" s="225" t="s">
        <v>743</v>
      </c>
      <c r="W11" s="380" t="s">
        <v>787</v>
      </c>
      <c r="X11" s="380" t="s">
        <v>788</v>
      </c>
      <c r="Y11" s="225" t="s">
        <v>743</v>
      </c>
      <c r="Z11" s="380" t="s">
        <v>791</v>
      </c>
      <c r="AA11" s="380" t="s">
        <v>792</v>
      </c>
      <c r="AB11" s="225" t="s">
        <v>743</v>
      </c>
      <c r="AC11" s="380" t="s">
        <v>762</v>
      </c>
      <c r="AD11" s="380" t="s">
        <v>763</v>
      </c>
      <c r="AE11" s="225" t="s">
        <v>743</v>
      </c>
      <c r="AF11" s="380" t="s">
        <v>770</v>
      </c>
      <c r="AG11" s="380" t="s">
        <v>767</v>
      </c>
      <c r="AH11" s="225" t="s">
        <v>743</v>
      </c>
      <c r="AI11" s="380" t="s">
        <v>824</v>
      </c>
      <c r="AJ11" s="380" t="s">
        <v>825</v>
      </c>
      <c r="AK11" s="225" t="s">
        <v>743</v>
      </c>
      <c r="AL11" s="225"/>
      <c r="AM11" s="225"/>
      <c r="AN11" s="225"/>
      <c r="AO11" s="225"/>
      <c r="AP11" s="225"/>
      <c r="AQ11" s="225"/>
      <c r="AR11" s="225"/>
      <c r="AS11" s="225"/>
      <c r="AT11" s="225"/>
      <c r="AU11" s="225"/>
      <c r="AV11" s="225"/>
      <c r="AW11" s="225"/>
      <c r="AX11" s="380" t="s">
        <v>798</v>
      </c>
      <c r="AY11" s="380" t="s">
        <v>799</v>
      </c>
      <c r="AZ11" s="225" t="s">
        <v>743</v>
      </c>
      <c r="BA11" s="380" t="s">
        <v>828</v>
      </c>
      <c r="BB11" s="380" t="s">
        <v>829</v>
      </c>
      <c r="BC11" s="225" t="s">
        <v>743</v>
      </c>
      <c r="BD11" s="380" t="s">
        <v>802</v>
      </c>
      <c r="BE11" s="380" t="s">
        <v>803</v>
      </c>
      <c r="BF11" s="225" t="s">
        <v>743</v>
      </c>
      <c r="BG11" s="380" t="s">
        <v>809</v>
      </c>
      <c r="BH11" s="380" t="s">
        <v>807</v>
      </c>
      <c r="BI11" s="225" t="s">
        <v>743</v>
      </c>
      <c r="BJ11" s="380" t="s">
        <v>810</v>
      </c>
      <c r="BK11" s="380" t="s">
        <v>811</v>
      </c>
      <c r="BL11" s="225" t="s">
        <v>743</v>
      </c>
      <c r="BM11" s="380" t="s">
        <v>818</v>
      </c>
      <c r="BN11" s="380" t="s">
        <v>817</v>
      </c>
      <c r="BO11" s="225" t="s">
        <v>743</v>
      </c>
      <c r="BP11" s="225"/>
      <c r="BQ11" s="225"/>
      <c r="BR11" s="225"/>
      <c r="BS11" s="225"/>
      <c r="BT11" s="225"/>
      <c r="BU11" s="225"/>
      <c r="BV11" s="225"/>
      <c r="BW11" s="225"/>
      <c r="BX11" s="225"/>
      <c r="BY11" s="225"/>
      <c r="BZ11" s="225"/>
      <c r="CA11" s="225"/>
      <c r="CB11" s="225"/>
      <c r="CC11" s="225"/>
      <c r="CD11" s="225"/>
      <c r="CE11" s="225"/>
      <c r="CF11" s="225"/>
      <c r="CG11" s="225"/>
      <c r="CH11" s="380" t="s">
        <v>820</v>
      </c>
      <c r="CI11" s="380" t="s">
        <v>821</v>
      </c>
      <c r="CJ11" s="225" t="s">
        <v>743</v>
      </c>
      <c r="CK11" s="225"/>
      <c r="CL11" s="225"/>
      <c r="CM11" s="225"/>
      <c r="CN11" s="225" t="s">
        <v>835</v>
      </c>
      <c r="CO11" s="225"/>
      <c r="CP11" s="225"/>
    </row>
    <row r="12" spans="2:94" s="74" customFormat="1" ht="50.1" customHeight="1" x14ac:dyDescent="0.25">
      <c r="B12" s="98">
        <v>7</v>
      </c>
      <c r="C12" s="75" t="str">
        <f>Peserta_Didik!D9</f>
        <v>1314.10.113</v>
      </c>
      <c r="D12" s="99" t="str">
        <f>Peserta_Didik!C9</f>
        <v>Chandra Khoerudin</v>
      </c>
      <c r="E12" s="380" t="s">
        <v>779</v>
      </c>
      <c r="F12" s="380" t="s">
        <v>776</v>
      </c>
      <c r="G12" s="225" t="s">
        <v>743</v>
      </c>
      <c r="H12" s="380" t="s">
        <v>781</v>
      </c>
      <c r="I12" s="380" t="s">
        <v>785</v>
      </c>
      <c r="J12" s="225" t="s">
        <v>743</v>
      </c>
      <c r="K12" s="380" t="s">
        <v>741</v>
      </c>
      <c r="L12" s="380" t="s">
        <v>742</v>
      </c>
      <c r="M12" s="225" t="s">
        <v>743</v>
      </c>
      <c r="N12" s="380" t="s">
        <v>754</v>
      </c>
      <c r="O12" s="380" t="s">
        <v>755</v>
      </c>
      <c r="P12" s="225" t="s">
        <v>743</v>
      </c>
      <c r="Q12" s="380" t="s">
        <v>761</v>
      </c>
      <c r="R12" s="380" t="s">
        <v>758</v>
      </c>
      <c r="S12" s="225" t="s">
        <v>743</v>
      </c>
      <c r="T12" s="380" t="s">
        <v>773</v>
      </c>
      <c r="U12" s="380" t="s">
        <v>774</v>
      </c>
      <c r="V12" s="225" t="s">
        <v>743</v>
      </c>
      <c r="W12" s="380" t="s">
        <v>787</v>
      </c>
      <c r="X12" s="380" t="s">
        <v>788</v>
      </c>
      <c r="Y12" s="225" t="s">
        <v>743</v>
      </c>
      <c r="Z12" s="380" t="s">
        <v>791</v>
      </c>
      <c r="AA12" s="380" t="s">
        <v>794</v>
      </c>
      <c r="AB12" s="225" t="s">
        <v>743</v>
      </c>
      <c r="AC12" s="380" t="s">
        <v>762</v>
      </c>
      <c r="AD12" s="380" t="s">
        <v>763</v>
      </c>
      <c r="AE12" s="225" t="s">
        <v>743</v>
      </c>
      <c r="AF12" s="380" t="s">
        <v>770</v>
      </c>
      <c r="AG12" s="380" t="s">
        <v>767</v>
      </c>
      <c r="AH12" s="225" t="s">
        <v>743</v>
      </c>
      <c r="AI12" s="380" t="s">
        <v>824</v>
      </c>
      <c r="AJ12" s="380" t="s">
        <v>827</v>
      </c>
      <c r="AK12" s="225" t="s">
        <v>743</v>
      </c>
      <c r="AL12" s="225"/>
      <c r="AM12" s="225"/>
      <c r="AN12" s="225"/>
      <c r="AO12" s="225"/>
      <c r="AP12" s="225"/>
      <c r="AQ12" s="225"/>
      <c r="AR12" s="225"/>
      <c r="AS12" s="225"/>
      <c r="AT12" s="225"/>
      <c r="AU12" s="225"/>
      <c r="AV12" s="225"/>
      <c r="AW12" s="225"/>
      <c r="AX12" s="380" t="s">
        <v>796</v>
      </c>
      <c r="AY12" s="380" t="s">
        <v>799</v>
      </c>
      <c r="AZ12" s="225" t="s">
        <v>743</v>
      </c>
      <c r="BA12" s="380" t="s">
        <v>828</v>
      </c>
      <c r="BB12" s="380" t="s">
        <v>831</v>
      </c>
      <c r="BC12" s="225" t="s">
        <v>743</v>
      </c>
      <c r="BD12" s="380" t="s">
        <v>800</v>
      </c>
      <c r="BE12" s="380" t="s">
        <v>801</v>
      </c>
      <c r="BF12" s="225" t="s">
        <v>743</v>
      </c>
      <c r="BG12" s="380" t="s">
        <v>809</v>
      </c>
      <c r="BH12" s="380" t="s">
        <v>807</v>
      </c>
      <c r="BI12" s="225" t="s">
        <v>743</v>
      </c>
      <c r="BJ12" s="380" t="s">
        <v>815</v>
      </c>
      <c r="BK12" s="380" t="s">
        <v>811</v>
      </c>
      <c r="BL12" s="225" t="s">
        <v>743</v>
      </c>
      <c r="BM12" s="380" t="s">
        <v>818</v>
      </c>
      <c r="BN12" s="380" t="s">
        <v>817</v>
      </c>
      <c r="BO12" s="225" t="s">
        <v>743</v>
      </c>
      <c r="BP12" s="225"/>
      <c r="BQ12" s="225"/>
      <c r="BR12" s="225"/>
      <c r="BS12" s="225"/>
      <c r="BT12" s="225"/>
      <c r="BU12" s="225"/>
      <c r="BV12" s="225"/>
      <c r="BW12" s="225"/>
      <c r="BX12" s="225"/>
      <c r="BY12" s="225"/>
      <c r="BZ12" s="225"/>
      <c r="CA12" s="225"/>
      <c r="CB12" s="225"/>
      <c r="CC12" s="225"/>
      <c r="CD12" s="225"/>
      <c r="CE12" s="225"/>
      <c r="CF12" s="225"/>
      <c r="CG12" s="225"/>
      <c r="CH12" s="380" t="s">
        <v>820</v>
      </c>
      <c r="CI12" s="380" t="s">
        <v>821</v>
      </c>
      <c r="CJ12" s="225" t="s">
        <v>743</v>
      </c>
      <c r="CK12" s="225"/>
      <c r="CL12" s="225"/>
      <c r="CM12" s="225"/>
      <c r="CN12" s="225" t="s">
        <v>836</v>
      </c>
      <c r="CO12" s="225"/>
      <c r="CP12" s="225"/>
    </row>
    <row r="13" spans="2:94" s="74" customFormat="1" ht="50.1" customHeight="1" x14ac:dyDescent="0.25">
      <c r="B13" s="98">
        <v>8</v>
      </c>
      <c r="C13" s="75" t="str">
        <f>Peserta_Didik!D10</f>
        <v>1314.10.114</v>
      </c>
      <c r="D13" s="99" t="str">
        <f>Peserta_Didik!C10</f>
        <v>Chepy Trisnandar</v>
      </c>
      <c r="E13" s="380" t="s">
        <v>779</v>
      </c>
      <c r="F13" s="380" t="s">
        <v>776</v>
      </c>
      <c r="G13" s="225" t="s">
        <v>743</v>
      </c>
      <c r="H13" s="380" t="s">
        <v>786</v>
      </c>
      <c r="I13" s="380" t="s">
        <v>785</v>
      </c>
      <c r="J13" s="225" t="s">
        <v>743</v>
      </c>
      <c r="K13" s="380" t="s">
        <v>741</v>
      </c>
      <c r="L13" s="380" t="s">
        <v>746</v>
      </c>
      <c r="M13" s="225" t="s">
        <v>747</v>
      </c>
      <c r="N13" s="380" t="s">
        <v>753</v>
      </c>
      <c r="O13" s="380" t="s">
        <v>752</v>
      </c>
      <c r="P13" s="225" t="s">
        <v>743</v>
      </c>
      <c r="Q13" s="380" t="s">
        <v>761</v>
      </c>
      <c r="R13" s="380" t="s">
        <v>758</v>
      </c>
      <c r="S13" s="225" t="s">
        <v>743</v>
      </c>
      <c r="T13" s="380" t="s">
        <v>773</v>
      </c>
      <c r="U13" s="380" t="s">
        <v>774</v>
      </c>
      <c r="V13" s="225" t="s">
        <v>747</v>
      </c>
      <c r="W13" s="380" t="s">
        <v>787</v>
      </c>
      <c r="X13" s="380" t="s">
        <v>788</v>
      </c>
      <c r="Y13" s="225" t="s">
        <v>743</v>
      </c>
      <c r="Z13" s="380" t="s">
        <v>793</v>
      </c>
      <c r="AA13" s="380" t="s">
        <v>794</v>
      </c>
      <c r="AB13" s="225" t="s">
        <v>743</v>
      </c>
      <c r="AC13" s="380" t="s">
        <v>762</v>
      </c>
      <c r="AD13" s="380" t="s">
        <v>763</v>
      </c>
      <c r="AE13" s="225" t="s">
        <v>743</v>
      </c>
      <c r="AF13" s="380" t="s">
        <v>770</v>
      </c>
      <c r="AG13" s="380" t="s">
        <v>767</v>
      </c>
      <c r="AH13" s="225" t="s">
        <v>747</v>
      </c>
      <c r="AI13" s="380" t="s">
        <v>824</v>
      </c>
      <c r="AJ13" s="380" t="s">
        <v>827</v>
      </c>
      <c r="AK13" s="225" t="s">
        <v>743</v>
      </c>
      <c r="AL13" s="225"/>
      <c r="AM13" s="225"/>
      <c r="AN13" s="225"/>
      <c r="AO13" s="225"/>
      <c r="AP13" s="225"/>
      <c r="AQ13" s="225"/>
      <c r="AR13" s="225"/>
      <c r="AS13" s="225"/>
      <c r="AT13" s="225"/>
      <c r="AU13" s="225"/>
      <c r="AV13" s="225"/>
      <c r="AW13" s="225"/>
      <c r="AX13" s="380" t="s">
        <v>798</v>
      </c>
      <c r="AY13" s="380" t="s">
        <v>799</v>
      </c>
      <c r="AZ13" s="225" t="s">
        <v>743</v>
      </c>
      <c r="BA13" s="380" t="s">
        <v>828</v>
      </c>
      <c r="BB13" s="380" t="s">
        <v>831</v>
      </c>
      <c r="BC13" s="225" t="s">
        <v>743</v>
      </c>
      <c r="BD13" s="380" t="s">
        <v>802</v>
      </c>
      <c r="BE13" s="380" t="s">
        <v>803</v>
      </c>
      <c r="BF13" s="225" t="s">
        <v>747</v>
      </c>
      <c r="BG13" s="380" t="s">
        <v>809</v>
      </c>
      <c r="BH13" s="380" t="s">
        <v>807</v>
      </c>
      <c r="BI13" s="225" t="s">
        <v>743</v>
      </c>
      <c r="BJ13" s="380" t="s">
        <v>815</v>
      </c>
      <c r="BK13" s="380" t="s">
        <v>813</v>
      </c>
      <c r="BL13" s="225" t="s">
        <v>743</v>
      </c>
      <c r="BM13" s="380" t="s">
        <v>816</v>
      </c>
      <c r="BN13" s="380" t="s">
        <v>817</v>
      </c>
      <c r="BO13" s="225" t="s">
        <v>747</v>
      </c>
      <c r="BP13" s="225"/>
      <c r="BQ13" s="225"/>
      <c r="BR13" s="225"/>
      <c r="BS13" s="225"/>
      <c r="BT13" s="225"/>
      <c r="BU13" s="225"/>
      <c r="BV13" s="225"/>
      <c r="BW13" s="225"/>
      <c r="BX13" s="225"/>
      <c r="BY13" s="225"/>
      <c r="BZ13" s="225"/>
      <c r="CA13" s="225"/>
      <c r="CB13" s="225"/>
      <c r="CC13" s="225"/>
      <c r="CD13" s="225"/>
      <c r="CE13" s="225"/>
      <c r="CF13" s="225"/>
      <c r="CG13" s="225"/>
      <c r="CH13" s="380" t="s">
        <v>820</v>
      </c>
      <c r="CI13" s="380" t="s">
        <v>821</v>
      </c>
      <c r="CJ13" s="225" t="s">
        <v>743</v>
      </c>
      <c r="CK13" s="225"/>
      <c r="CL13" s="225"/>
      <c r="CM13" s="225"/>
      <c r="CN13" s="225" t="s">
        <v>836</v>
      </c>
      <c r="CO13" s="225" t="s">
        <v>834</v>
      </c>
      <c r="CP13" s="225"/>
    </row>
    <row r="14" spans="2:94" s="74" customFormat="1" ht="50.1" customHeight="1" x14ac:dyDescent="0.25">
      <c r="B14" s="98">
        <v>9</v>
      </c>
      <c r="C14" s="75" t="str">
        <f>Peserta_Didik!D11</f>
        <v>1314.10.115</v>
      </c>
      <c r="D14" s="99" t="str">
        <f>Peserta_Didik!C11</f>
        <v>Dinda Prastiwi</v>
      </c>
      <c r="E14" s="380" t="s">
        <v>779</v>
      </c>
      <c r="F14" s="380" t="s">
        <v>778</v>
      </c>
      <c r="G14" s="225" t="s">
        <v>743</v>
      </c>
      <c r="H14" s="380" t="s">
        <v>786</v>
      </c>
      <c r="I14" s="380" t="s">
        <v>785</v>
      </c>
      <c r="J14" s="225" t="s">
        <v>743</v>
      </c>
      <c r="K14" s="380" t="s">
        <v>744</v>
      </c>
      <c r="L14" s="380" t="s">
        <v>746</v>
      </c>
      <c r="M14" s="225" t="s">
        <v>747</v>
      </c>
      <c r="N14" s="380" t="s">
        <v>748</v>
      </c>
      <c r="O14" s="380" t="s">
        <v>749</v>
      </c>
      <c r="P14" s="225" t="s">
        <v>743</v>
      </c>
      <c r="Q14" s="380" t="s">
        <v>761</v>
      </c>
      <c r="R14" s="380" t="s">
        <v>760</v>
      </c>
      <c r="S14" s="225" t="s">
        <v>743</v>
      </c>
      <c r="T14" s="380" t="s">
        <v>773</v>
      </c>
      <c r="U14" s="380" t="s">
        <v>774</v>
      </c>
      <c r="V14" s="225" t="s">
        <v>747</v>
      </c>
      <c r="W14" s="380" t="s">
        <v>787</v>
      </c>
      <c r="X14" s="380" t="s">
        <v>788</v>
      </c>
      <c r="Y14" s="225" t="s">
        <v>743</v>
      </c>
      <c r="Z14" s="380" t="s">
        <v>793</v>
      </c>
      <c r="AA14" s="380" t="s">
        <v>792</v>
      </c>
      <c r="AB14" s="225" t="s">
        <v>743</v>
      </c>
      <c r="AC14" s="380" t="s">
        <v>762</v>
      </c>
      <c r="AD14" s="380" t="s">
        <v>763</v>
      </c>
      <c r="AE14" s="225" t="s">
        <v>743</v>
      </c>
      <c r="AF14" s="380" t="s">
        <v>771</v>
      </c>
      <c r="AG14" s="380" t="s">
        <v>772</v>
      </c>
      <c r="AH14" s="225" t="s">
        <v>747</v>
      </c>
      <c r="AI14" s="380" t="s">
        <v>824</v>
      </c>
      <c r="AJ14" s="380" t="s">
        <v>825</v>
      </c>
      <c r="AK14" s="225" t="s">
        <v>743</v>
      </c>
      <c r="AL14" s="225"/>
      <c r="AM14" s="225"/>
      <c r="AN14" s="225"/>
      <c r="AO14" s="225"/>
      <c r="AP14" s="225"/>
      <c r="AQ14" s="225"/>
      <c r="AR14" s="225"/>
      <c r="AS14" s="225"/>
      <c r="AT14" s="225"/>
      <c r="AU14" s="225"/>
      <c r="AV14" s="225"/>
      <c r="AW14" s="225"/>
      <c r="AX14" s="380" t="s">
        <v>798</v>
      </c>
      <c r="AY14" s="380" t="s">
        <v>799</v>
      </c>
      <c r="AZ14" s="225" t="s">
        <v>743</v>
      </c>
      <c r="BA14" s="380" t="s">
        <v>828</v>
      </c>
      <c r="BB14" s="380" t="s">
        <v>831</v>
      </c>
      <c r="BC14" s="225" t="s">
        <v>743</v>
      </c>
      <c r="BD14" s="380" t="s">
        <v>800</v>
      </c>
      <c r="BE14" s="380" t="s">
        <v>803</v>
      </c>
      <c r="BF14" s="225" t="s">
        <v>743</v>
      </c>
      <c r="BG14" s="380" t="s">
        <v>809</v>
      </c>
      <c r="BH14" s="380" t="s">
        <v>807</v>
      </c>
      <c r="BI14" s="225" t="s">
        <v>743</v>
      </c>
      <c r="BJ14" s="380" t="s">
        <v>810</v>
      </c>
      <c r="BK14" s="380" t="s">
        <v>811</v>
      </c>
      <c r="BL14" s="225" t="s">
        <v>743</v>
      </c>
      <c r="BM14" s="380" t="s">
        <v>816</v>
      </c>
      <c r="BN14" s="380" t="s">
        <v>817</v>
      </c>
      <c r="BO14" s="225" t="s">
        <v>743</v>
      </c>
      <c r="BP14" s="225"/>
      <c r="BQ14" s="225"/>
      <c r="BR14" s="225"/>
      <c r="BS14" s="225"/>
      <c r="BT14" s="225"/>
      <c r="BU14" s="225"/>
      <c r="BV14" s="225"/>
      <c r="BW14" s="225"/>
      <c r="BX14" s="225"/>
      <c r="BY14" s="225"/>
      <c r="BZ14" s="225"/>
      <c r="CA14" s="225"/>
      <c r="CB14" s="225"/>
      <c r="CC14" s="225"/>
      <c r="CD14" s="225"/>
      <c r="CE14" s="225"/>
      <c r="CF14" s="225"/>
      <c r="CG14" s="225"/>
      <c r="CH14" s="380" t="s">
        <v>820</v>
      </c>
      <c r="CI14" s="380" t="s">
        <v>821</v>
      </c>
      <c r="CJ14" s="225" t="s">
        <v>743</v>
      </c>
      <c r="CK14" s="225"/>
      <c r="CL14" s="225"/>
      <c r="CM14" s="225"/>
      <c r="CN14" s="225" t="s">
        <v>836</v>
      </c>
      <c r="CO14" s="225"/>
      <c r="CP14" s="225"/>
    </row>
    <row r="15" spans="2:94" s="74" customFormat="1" ht="50.1" customHeight="1" x14ac:dyDescent="0.25">
      <c r="B15" s="98">
        <v>10</v>
      </c>
      <c r="C15" s="75" t="str">
        <f>Peserta_Didik!D12</f>
        <v>1314.10.116</v>
      </c>
      <c r="D15" s="99" t="str">
        <f>Peserta_Didik!C12</f>
        <v>Dwiki Pratama Suherman</v>
      </c>
      <c r="E15" s="380" t="s">
        <v>779</v>
      </c>
      <c r="F15" s="380" t="s">
        <v>776</v>
      </c>
      <c r="G15" s="225" t="s">
        <v>743</v>
      </c>
      <c r="H15" s="380" t="s">
        <v>786</v>
      </c>
      <c r="I15" s="380" t="s">
        <v>785</v>
      </c>
      <c r="J15" s="225" t="s">
        <v>743</v>
      </c>
      <c r="K15" s="380" t="s">
        <v>741</v>
      </c>
      <c r="L15" s="380" t="s">
        <v>742</v>
      </c>
      <c r="M15" s="225" t="s">
        <v>743</v>
      </c>
      <c r="N15" s="380" t="s">
        <v>756</v>
      </c>
      <c r="O15" s="380" t="s">
        <v>749</v>
      </c>
      <c r="P15" s="225" t="s">
        <v>743</v>
      </c>
      <c r="Q15" s="380" t="s">
        <v>761</v>
      </c>
      <c r="R15" s="380" t="s">
        <v>758</v>
      </c>
      <c r="S15" s="225" t="s">
        <v>743</v>
      </c>
      <c r="T15" s="380" t="s">
        <v>773</v>
      </c>
      <c r="U15" s="380" t="s">
        <v>774</v>
      </c>
      <c r="V15" s="225" t="s">
        <v>743</v>
      </c>
      <c r="W15" s="380" t="s">
        <v>787</v>
      </c>
      <c r="X15" s="380" t="s">
        <v>788</v>
      </c>
      <c r="Y15" s="225" t="s">
        <v>743</v>
      </c>
      <c r="Z15" s="380" t="s">
        <v>791</v>
      </c>
      <c r="AA15" s="380" t="s">
        <v>794</v>
      </c>
      <c r="AB15" s="225" t="s">
        <v>743</v>
      </c>
      <c r="AC15" s="380" t="s">
        <v>762</v>
      </c>
      <c r="AD15" s="380" t="s">
        <v>763</v>
      </c>
      <c r="AE15" s="225" t="s">
        <v>747</v>
      </c>
      <c r="AF15" s="380" t="s">
        <v>770</v>
      </c>
      <c r="AG15" s="380" t="s">
        <v>767</v>
      </c>
      <c r="AH15" s="225" t="s">
        <v>743</v>
      </c>
      <c r="AI15" s="380" t="s">
        <v>824</v>
      </c>
      <c r="AJ15" s="380" t="s">
        <v>827</v>
      </c>
      <c r="AK15" s="225" t="s">
        <v>743</v>
      </c>
      <c r="AL15" s="225"/>
      <c r="AM15" s="225"/>
      <c r="AN15" s="225"/>
      <c r="AO15" s="225"/>
      <c r="AP15" s="225"/>
      <c r="AQ15" s="225"/>
      <c r="AR15" s="225"/>
      <c r="AS15" s="225"/>
      <c r="AT15" s="225"/>
      <c r="AU15" s="225"/>
      <c r="AV15" s="225"/>
      <c r="AW15" s="225"/>
      <c r="AX15" s="380" t="s">
        <v>798</v>
      </c>
      <c r="AY15" s="380" t="s">
        <v>799</v>
      </c>
      <c r="AZ15" s="225" t="s">
        <v>743</v>
      </c>
      <c r="BA15" s="380" t="s">
        <v>830</v>
      </c>
      <c r="BB15" s="380" t="s">
        <v>831</v>
      </c>
      <c r="BC15" s="225" t="s">
        <v>743</v>
      </c>
      <c r="BD15" s="380" t="s">
        <v>802</v>
      </c>
      <c r="BE15" s="380" t="s">
        <v>803</v>
      </c>
      <c r="BF15" s="225" t="s">
        <v>743</v>
      </c>
      <c r="BG15" s="380" t="s">
        <v>809</v>
      </c>
      <c r="BH15" s="380" t="s">
        <v>807</v>
      </c>
      <c r="BI15" s="225" t="s">
        <v>743</v>
      </c>
      <c r="BJ15" s="380" t="s">
        <v>815</v>
      </c>
      <c r="BK15" s="380" t="s">
        <v>813</v>
      </c>
      <c r="BL15" s="225" t="s">
        <v>743</v>
      </c>
      <c r="BM15" s="380" t="s">
        <v>818</v>
      </c>
      <c r="BN15" s="380" t="s">
        <v>817</v>
      </c>
      <c r="BO15" s="225" t="s">
        <v>743</v>
      </c>
      <c r="BP15" s="225"/>
      <c r="BQ15" s="225"/>
      <c r="BR15" s="225"/>
      <c r="BS15" s="225"/>
      <c r="BT15" s="225"/>
      <c r="BU15" s="225"/>
      <c r="BV15" s="225"/>
      <c r="BW15" s="225"/>
      <c r="BX15" s="225"/>
      <c r="BY15" s="225"/>
      <c r="BZ15" s="225"/>
      <c r="CA15" s="225"/>
      <c r="CB15" s="225"/>
      <c r="CC15" s="225"/>
      <c r="CD15" s="225"/>
      <c r="CE15" s="225"/>
      <c r="CF15" s="225"/>
      <c r="CG15" s="225"/>
      <c r="CH15" s="380" t="s">
        <v>820</v>
      </c>
      <c r="CI15" s="380" t="s">
        <v>821</v>
      </c>
      <c r="CJ15" s="225" t="s">
        <v>743</v>
      </c>
      <c r="CK15" s="225"/>
      <c r="CL15" s="225"/>
      <c r="CM15" s="225"/>
      <c r="CN15" s="225" t="s">
        <v>836</v>
      </c>
      <c r="CO15" s="225"/>
      <c r="CP15" s="225"/>
    </row>
    <row r="16" spans="2:94" s="74" customFormat="1" ht="50.1" customHeight="1" x14ac:dyDescent="0.25">
      <c r="B16" s="98">
        <v>11</v>
      </c>
      <c r="C16" s="75" t="str">
        <f>Peserta_Didik!D13</f>
        <v>1314.10.117</v>
      </c>
      <c r="D16" s="99" t="str">
        <f>Peserta_Didik!C13</f>
        <v>Erry Nur Azhari</v>
      </c>
      <c r="E16" s="380" t="s">
        <v>779</v>
      </c>
      <c r="F16" s="380" t="s">
        <v>776</v>
      </c>
      <c r="G16" s="225" t="s">
        <v>743</v>
      </c>
      <c r="H16" s="380" t="s">
        <v>786</v>
      </c>
      <c r="I16" s="380" t="s">
        <v>785</v>
      </c>
      <c r="J16" s="225" t="s">
        <v>743</v>
      </c>
      <c r="K16" s="380" t="s">
        <v>744</v>
      </c>
      <c r="L16" s="380" t="s">
        <v>742</v>
      </c>
      <c r="M16" s="225" t="s">
        <v>743</v>
      </c>
      <c r="N16" s="380" t="s">
        <v>748</v>
      </c>
      <c r="O16" s="380" t="s">
        <v>749</v>
      </c>
      <c r="P16" s="225" t="s">
        <v>743</v>
      </c>
      <c r="Q16" s="380" t="s">
        <v>761</v>
      </c>
      <c r="R16" s="380" t="s">
        <v>760</v>
      </c>
      <c r="S16" s="225" t="s">
        <v>743</v>
      </c>
      <c r="T16" s="380" t="s">
        <v>773</v>
      </c>
      <c r="U16" s="380" t="s">
        <v>774</v>
      </c>
      <c r="V16" s="225" t="s">
        <v>743</v>
      </c>
      <c r="W16" s="380" t="s">
        <v>787</v>
      </c>
      <c r="X16" s="380" t="s">
        <v>788</v>
      </c>
      <c r="Y16" s="225" t="s">
        <v>743</v>
      </c>
      <c r="Z16" s="380" t="s">
        <v>791</v>
      </c>
      <c r="AA16" s="380" t="s">
        <v>792</v>
      </c>
      <c r="AB16" s="225" t="s">
        <v>743</v>
      </c>
      <c r="AC16" s="380" t="s">
        <v>762</v>
      </c>
      <c r="AD16" s="380" t="s">
        <v>763</v>
      </c>
      <c r="AE16" s="225" t="s">
        <v>747</v>
      </c>
      <c r="AF16" s="380" t="s">
        <v>770</v>
      </c>
      <c r="AG16" s="380" t="s">
        <v>767</v>
      </c>
      <c r="AH16" s="225" t="s">
        <v>747</v>
      </c>
      <c r="AI16" s="380" t="s">
        <v>826</v>
      </c>
      <c r="AJ16" s="380" t="s">
        <v>827</v>
      </c>
      <c r="AK16" s="225" t="s">
        <v>743</v>
      </c>
      <c r="AL16" s="225"/>
      <c r="AM16" s="225"/>
      <c r="AN16" s="225"/>
      <c r="AO16" s="225"/>
      <c r="AP16" s="225"/>
      <c r="AQ16" s="225"/>
      <c r="AR16" s="225"/>
      <c r="AS16" s="225"/>
      <c r="AT16" s="225"/>
      <c r="AU16" s="225"/>
      <c r="AV16" s="225"/>
      <c r="AW16" s="225"/>
      <c r="AX16" s="380" t="s">
        <v>798</v>
      </c>
      <c r="AY16" s="380" t="s">
        <v>799</v>
      </c>
      <c r="AZ16" s="225" t="s">
        <v>743</v>
      </c>
      <c r="BA16" s="380" t="s">
        <v>830</v>
      </c>
      <c r="BB16" s="380" t="s">
        <v>831</v>
      </c>
      <c r="BC16" s="225" t="s">
        <v>743</v>
      </c>
      <c r="BD16" s="380" t="s">
        <v>802</v>
      </c>
      <c r="BE16" s="380" t="s">
        <v>803</v>
      </c>
      <c r="BF16" s="225" t="s">
        <v>743</v>
      </c>
      <c r="BG16" s="380" t="s">
        <v>809</v>
      </c>
      <c r="BH16" s="380" t="s">
        <v>807</v>
      </c>
      <c r="BI16" s="225" t="s">
        <v>743</v>
      </c>
      <c r="BJ16" s="380" t="s">
        <v>815</v>
      </c>
      <c r="BK16" s="380" t="s">
        <v>813</v>
      </c>
      <c r="BL16" s="225" t="s">
        <v>743</v>
      </c>
      <c r="BM16" s="380" t="s">
        <v>818</v>
      </c>
      <c r="BN16" s="380" t="s">
        <v>817</v>
      </c>
      <c r="BO16" s="225" t="s">
        <v>743</v>
      </c>
      <c r="BP16" s="225"/>
      <c r="BQ16" s="225"/>
      <c r="BR16" s="225"/>
      <c r="BS16" s="225"/>
      <c r="BT16" s="225"/>
      <c r="BU16" s="225"/>
      <c r="BV16" s="225"/>
      <c r="BW16" s="225"/>
      <c r="BX16" s="225"/>
      <c r="BY16" s="225"/>
      <c r="BZ16" s="225"/>
      <c r="CA16" s="225"/>
      <c r="CB16" s="225"/>
      <c r="CC16" s="225"/>
      <c r="CD16" s="225"/>
      <c r="CE16" s="225"/>
      <c r="CF16" s="225"/>
      <c r="CG16" s="225"/>
      <c r="CH16" s="380" t="s">
        <v>820</v>
      </c>
      <c r="CI16" s="380" t="s">
        <v>821</v>
      </c>
      <c r="CJ16" s="225" t="s">
        <v>743</v>
      </c>
      <c r="CK16" s="225"/>
      <c r="CL16" s="225"/>
      <c r="CM16" s="225"/>
      <c r="CN16" s="225" t="s">
        <v>836</v>
      </c>
      <c r="CO16" s="225" t="s">
        <v>834</v>
      </c>
      <c r="CP16" s="225"/>
    </row>
    <row r="17" spans="2:94" s="74" customFormat="1" ht="50.1" customHeight="1" x14ac:dyDescent="0.25">
      <c r="B17" s="98">
        <v>12</v>
      </c>
      <c r="C17" s="75" t="str">
        <f>Peserta_Didik!D14</f>
        <v>1314.10.118</v>
      </c>
      <c r="D17" s="99" t="str">
        <f>Peserta_Didik!C14</f>
        <v>Gita Cahya Aulia</v>
      </c>
      <c r="E17" s="380" t="s">
        <v>779</v>
      </c>
      <c r="F17" s="380" t="s">
        <v>778</v>
      </c>
      <c r="G17" s="225" t="s">
        <v>743</v>
      </c>
      <c r="H17" s="380" t="s">
        <v>786</v>
      </c>
      <c r="I17" s="380" t="s">
        <v>785</v>
      </c>
      <c r="J17" s="225" t="s">
        <v>743</v>
      </c>
      <c r="K17" s="380" t="s">
        <v>744</v>
      </c>
      <c r="L17" s="380" t="s">
        <v>746</v>
      </c>
      <c r="M17" s="225" t="s">
        <v>747</v>
      </c>
      <c r="N17" s="380" t="s">
        <v>748</v>
      </c>
      <c r="O17" s="380" t="s">
        <v>749</v>
      </c>
      <c r="P17" s="225" t="s">
        <v>743</v>
      </c>
      <c r="Q17" s="380" t="s">
        <v>757</v>
      </c>
      <c r="R17" s="380" t="s">
        <v>760</v>
      </c>
      <c r="S17" s="225" t="s">
        <v>743</v>
      </c>
      <c r="T17" s="380" t="s">
        <v>773</v>
      </c>
      <c r="U17" s="380" t="s">
        <v>774</v>
      </c>
      <c r="V17" s="225" t="s">
        <v>747</v>
      </c>
      <c r="W17" s="380" t="s">
        <v>787</v>
      </c>
      <c r="X17" s="380" t="s">
        <v>788</v>
      </c>
      <c r="Y17" s="225" t="s">
        <v>743</v>
      </c>
      <c r="Z17" s="380" t="s">
        <v>791</v>
      </c>
      <c r="AA17" s="380" t="s">
        <v>794</v>
      </c>
      <c r="AB17" s="225" t="s">
        <v>743</v>
      </c>
      <c r="AC17" s="380" t="s">
        <v>762</v>
      </c>
      <c r="AD17" s="380" t="s">
        <v>763</v>
      </c>
      <c r="AE17" s="225" t="s">
        <v>743</v>
      </c>
      <c r="AF17" s="380" t="s">
        <v>770</v>
      </c>
      <c r="AG17" s="380" t="s">
        <v>767</v>
      </c>
      <c r="AH17" s="225" t="s">
        <v>747</v>
      </c>
      <c r="AI17" s="380" t="s">
        <v>824</v>
      </c>
      <c r="AJ17" s="380" t="s">
        <v>827</v>
      </c>
      <c r="AK17" s="225" t="s">
        <v>743</v>
      </c>
      <c r="AL17" s="225"/>
      <c r="AM17" s="225"/>
      <c r="AN17" s="225"/>
      <c r="AO17" s="225"/>
      <c r="AP17" s="225"/>
      <c r="AQ17" s="225"/>
      <c r="AR17" s="225"/>
      <c r="AS17" s="225"/>
      <c r="AT17" s="225"/>
      <c r="AU17" s="225"/>
      <c r="AV17" s="225"/>
      <c r="AW17" s="225"/>
      <c r="AX17" s="380" t="s">
        <v>798</v>
      </c>
      <c r="AY17" s="380" t="s">
        <v>799</v>
      </c>
      <c r="AZ17" s="225" t="s">
        <v>743</v>
      </c>
      <c r="BA17" s="380" t="s">
        <v>828</v>
      </c>
      <c r="BB17" s="380" t="s">
        <v>831</v>
      </c>
      <c r="BC17" s="225" t="s">
        <v>743</v>
      </c>
      <c r="BD17" s="380" t="s">
        <v>802</v>
      </c>
      <c r="BE17" s="380" t="s">
        <v>803</v>
      </c>
      <c r="BF17" s="225" t="s">
        <v>747</v>
      </c>
      <c r="BG17" s="380" t="s">
        <v>809</v>
      </c>
      <c r="BH17" s="380" t="s">
        <v>807</v>
      </c>
      <c r="BI17" s="225" t="s">
        <v>743</v>
      </c>
      <c r="BJ17" s="380" t="s">
        <v>810</v>
      </c>
      <c r="BK17" s="380" t="s">
        <v>811</v>
      </c>
      <c r="BL17" s="225" t="s">
        <v>743</v>
      </c>
      <c r="BM17" s="380" t="s">
        <v>818</v>
      </c>
      <c r="BN17" s="380" t="s">
        <v>817</v>
      </c>
      <c r="BO17" s="225" t="s">
        <v>747</v>
      </c>
      <c r="BP17" s="225"/>
      <c r="BQ17" s="225"/>
      <c r="BR17" s="225"/>
      <c r="BS17" s="225"/>
      <c r="BT17" s="225"/>
      <c r="BU17" s="225"/>
      <c r="BV17" s="225"/>
      <c r="BW17" s="225"/>
      <c r="BX17" s="225"/>
      <c r="BY17" s="225"/>
      <c r="BZ17" s="225"/>
      <c r="CA17" s="225"/>
      <c r="CB17" s="225"/>
      <c r="CC17" s="225"/>
      <c r="CD17" s="225"/>
      <c r="CE17" s="225"/>
      <c r="CF17" s="225"/>
      <c r="CG17" s="225"/>
      <c r="CH17" s="380" t="s">
        <v>820</v>
      </c>
      <c r="CI17" s="380" t="s">
        <v>821</v>
      </c>
      <c r="CJ17" s="225" t="s">
        <v>743</v>
      </c>
      <c r="CK17" s="225"/>
      <c r="CL17" s="225"/>
      <c r="CM17" s="225"/>
      <c r="CN17" s="225" t="s">
        <v>836</v>
      </c>
      <c r="CO17" s="225"/>
      <c r="CP17" s="225"/>
    </row>
    <row r="18" spans="2:94" s="74" customFormat="1" ht="50.1" customHeight="1" x14ac:dyDescent="0.25">
      <c r="B18" s="98">
        <v>13</v>
      </c>
      <c r="C18" s="75" t="str">
        <f>Peserta_Didik!D15</f>
        <v>1314.10.119</v>
      </c>
      <c r="D18" s="99" t="str">
        <f>Peserta_Didik!C15</f>
        <v>Hamim Yusuf</v>
      </c>
      <c r="E18" s="380" t="s">
        <v>779</v>
      </c>
      <c r="F18" s="380" t="s">
        <v>778</v>
      </c>
      <c r="G18" s="225" t="s">
        <v>743</v>
      </c>
      <c r="H18" s="380" t="s">
        <v>781</v>
      </c>
      <c r="I18" s="380" t="s">
        <v>785</v>
      </c>
      <c r="J18" s="225" t="s">
        <v>743</v>
      </c>
      <c r="K18" s="380" t="s">
        <v>741</v>
      </c>
      <c r="L18" s="380" t="s">
        <v>742</v>
      </c>
      <c r="M18" s="225" t="s">
        <v>743</v>
      </c>
      <c r="N18" s="380" t="s">
        <v>753</v>
      </c>
      <c r="O18" s="380" t="s">
        <v>752</v>
      </c>
      <c r="P18" s="225" t="s">
        <v>743</v>
      </c>
      <c r="Q18" s="380" t="s">
        <v>761</v>
      </c>
      <c r="R18" s="380" t="s">
        <v>758</v>
      </c>
      <c r="S18" s="225" t="s">
        <v>743</v>
      </c>
      <c r="T18" s="380" t="s">
        <v>773</v>
      </c>
      <c r="U18" s="380" t="s">
        <v>774</v>
      </c>
      <c r="V18" s="225" t="s">
        <v>743</v>
      </c>
      <c r="W18" s="380" t="s">
        <v>787</v>
      </c>
      <c r="X18" s="380" t="s">
        <v>788</v>
      </c>
      <c r="Y18" s="225" t="s">
        <v>743</v>
      </c>
      <c r="Z18" s="380" t="s">
        <v>795</v>
      </c>
      <c r="AA18" s="380" t="s">
        <v>792</v>
      </c>
      <c r="AB18" s="225" t="s">
        <v>743</v>
      </c>
      <c r="AC18" s="380" t="s">
        <v>762</v>
      </c>
      <c r="AD18" s="380" t="s">
        <v>763</v>
      </c>
      <c r="AE18" s="225" t="s">
        <v>743</v>
      </c>
      <c r="AF18" s="380" t="s">
        <v>770</v>
      </c>
      <c r="AG18" s="380" t="s">
        <v>767</v>
      </c>
      <c r="AH18" s="225" t="s">
        <v>743</v>
      </c>
      <c r="AI18" s="380" t="s">
        <v>824</v>
      </c>
      <c r="AJ18" s="380" t="s">
        <v>827</v>
      </c>
      <c r="AK18" s="225" t="s">
        <v>743</v>
      </c>
      <c r="AL18" s="225"/>
      <c r="AM18" s="225"/>
      <c r="AN18" s="225"/>
      <c r="AO18" s="225"/>
      <c r="AP18" s="225"/>
      <c r="AQ18" s="225"/>
      <c r="AR18" s="225"/>
      <c r="AS18" s="225"/>
      <c r="AT18" s="225"/>
      <c r="AU18" s="225"/>
      <c r="AV18" s="225"/>
      <c r="AW18" s="225"/>
      <c r="AX18" s="380" t="s">
        <v>796</v>
      </c>
      <c r="AY18" s="380" t="s">
        <v>799</v>
      </c>
      <c r="AZ18" s="225" t="s">
        <v>743</v>
      </c>
      <c r="BA18" s="380" t="s">
        <v>828</v>
      </c>
      <c r="BB18" s="380" t="s">
        <v>831</v>
      </c>
      <c r="BC18" s="225" t="s">
        <v>743</v>
      </c>
      <c r="BD18" s="380" t="s">
        <v>800</v>
      </c>
      <c r="BE18" s="380" t="s">
        <v>803</v>
      </c>
      <c r="BF18" s="225" t="s">
        <v>747</v>
      </c>
      <c r="BG18" s="380" t="s">
        <v>809</v>
      </c>
      <c r="BH18" s="380" t="s">
        <v>807</v>
      </c>
      <c r="BI18" s="225" t="s">
        <v>743</v>
      </c>
      <c r="BJ18" s="380" t="s">
        <v>815</v>
      </c>
      <c r="BK18" s="380" t="s">
        <v>811</v>
      </c>
      <c r="BL18" s="225" t="s">
        <v>743</v>
      </c>
      <c r="BM18" s="380" t="s">
        <v>818</v>
      </c>
      <c r="BN18" s="380" t="s">
        <v>817</v>
      </c>
      <c r="BO18" s="225" t="s">
        <v>747</v>
      </c>
      <c r="BP18" s="225"/>
      <c r="BQ18" s="225"/>
      <c r="BR18" s="225"/>
      <c r="BS18" s="225"/>
      <c r="BT18" s="225"/>
      <c r="BU18" s="225"/>
      <c r="BV18" s="225"/>
      <c r="BW18" s="225"/>
      <c r="BX18" s="225"/>
      <c r="BY18" s="225"/>
      <c r="BZ18" s="225"/>
      <c r="CA18" s="225"/>
      <c r="CB18" s="225"/>
      <c r="CC18" s="225"/>
      <c r="CD18" s="225"/>
      <c r="CE18" s="225"/>
      <c r="CF18" s="225"/>
      <c r="CG18" s="225"/>
      <c r="CH18" s="380" t="s">
        <v>820</v>
      </c>
      <c r="CI18" s="380" t="s">
        <v>821</v>
      </c>
      <c r="CJ18" s="225" t="s">
        <v>743</v>
      </c>
      <c r="CK18" s="225"/>
      <c r="CL18" s="225"/>
      <c r="CM18" s="225"/>
      <c r="CN18" s="225" t="s">
        <v>836</v>
      </c>
      <c r="CO18" s="225"/>
      <c r="CP18" s="225"/>
    </row>
    <row r="19" spans="2:94" s="74" customFormat="1" ht="50.1" customHeight="1" x14ac:dyDescent="0.25">
      <c r="B19" s="98">
        <v>14</v>
      </c>
      <c r="C19" s="75" t="str">
        <f>Peserta_Didik!D16</f>
        <v>1314.10.120</v>
      </c>
      <c r="D19" s="99" t="str">
        <f>Peserta_Didik!C16</f>
        <v>Hamzah Ashari</v>
      </c>
      <c r="E19" s="380" t="s">
        <v>779</v>
      </c>
      <c r="F19" s="380" t="s">
        <v>778</v>
      </c>
      <c r="G19" s="225" t="s">
        <v>743</v>
      </c>
      <c r="H19" s="380" t="s">
        <v>781</v>
      </c>
      <c r="I19" s="380" t="s">
        <v>785</v>
      </c>
      <c r="J19" s="225" t="s">
        <v>743</v>
      </c>
      <c r="K19" s="380" t="s">
        <v>741</v>
      </c>
      <c r="L19" s="380" t="s">
        <v>742</v>
      </c>
      <c r="M19" s="225" t="s">
        <v>743</v>
      </c>
      <c r="N19" s="380" t="s">
        <v>748</v>
      </c>
      <c r="O19" s="380" t="s">
        <v>749</v>
      </c>
      <c r="P19" s="225" t="s">
        <v>743</v>
      </c>
      <c r="Q19" s="380" t="s">
        <v>757</v>
      </c>
      <c r="R19" s="380" t="s">
        <v>760</v>
      </c>
      <c r="S19" s="225" t="s">
        <v>743</v>
      </c>
      <c r="T19" s="380" t="s">
        <v>773</v>
      </c>
      <c r="U19" s="380" t="s">
        <v>774</v>
      </c>
      <c r="V19" s="225" t="s">
        <v>743</v>
      </c>
      <c r="W19" s="380" t="s">
        <v>787</v>
      </c>
      <c r="X19" s="380" t="s">
        <v>788</v>
      </c>
      <c r="Y19" s="225" t="s">
        <v>743</v>
      </c>
      <c r="Z19" s="380" t="s">
        <v>793</v>
      </c>
      <c r="AA19" s="380" t="s">
        <v>792</v>
      </c>
      <c r="AB19" s="225" t="s">
        <v>743</v>
      </c>
      <c r="AC19" s="380" t="s">
        <v>762</v>
      </c>
      <c r="AD19" s="380" t="s">
        <v>763</v>
      </c>
      <c r="AE19" s="225" t="s">
        <v>743</v>
      </c>
      <c r="AF19" s="380" t="s">
        <v>770</v>
      </c>
      <c r="AG19" s="380" t="s">
        <v>767</v>
      </c>
      <c r="AH19" s="225" t="s">
        <v>743</v>
      </c>
      <c r="AI19" s="380" t="s">
        <v>824</v>
      </c>
      <c r="AJ19" s="380" t="s">
        <v>825</v>
      </c>
      <c r="AK19" s="225" t="s">
        <v>743</v>
      </c>
      <c r="AL19" s="225"/>
      <c r="AM19" s="225"/>
      <c r="AN19" s="225"/>
      <c r="AO19" s="225"/>
      <c r="AP19" s="225"/>
      <c r="AQ19" s="225"/>
      <c r="AR19" s="225"/>
      <c r="AS19" s="225"/>
      <c r="AT19" s="225"/>
      <c r="AU19" s="225"/>
      <c r="AV19" s="225"/>
      <c r="AW19" s="225"/>
      <c r="AX19" s="380" t="s">
        <v>796</v>
      </c>
      <c r="AY19" s="380" t="s">
        <v>799</v>
      </c>
      <c r="AZ19" s="225" t="s">
        <v>743</v>
      </c>
      <c r="BA19" s="380" t="s">
        <v>828</v>
      </c>
      <c r="BB19" s="380" t="s">
        <v>831</v>
      </c>
      <c r="BC19" s="225" t="s">
        <v>743</v>
      </c>
      <c r="BD19" s="380" t="s">
        <v>802</v>
      </c>
      <c r="BE19" s="380" t="s">
        <v>803</v>
      </c>
      <c r="BF19" s="225" t="s">
        <v>743</v>
      </c>
      <c r="BG19" s="380" t="s">
        <v>809</v>
      </c>
      <c r="BH19" s="380" t="s">
        <v>808</v>
      </c>
      <c r="BI19" s="225" t="s">
        <v>743</v>
      </c>
      <c r="BJ19" s="380" t="s">
        <v>815</v>
      </c>
      <c r="BK19" s="380" t="s">
        <v>811</v>
      </c>
      <c r="BL19" s="225" t="s">
        <v>743</v>
      </c>
      <c r="BM19" s="380" t="s">
        <v>816</v>
      </c>
      <c r="BN19" s="380" t="s">
        <v>817</v>
      </c>
      <c r="BO19" s="225" t="s">
        <v>743</v>
      </c>
      <c r="BP19" s="225"/>
      <c r="BQ19" s="225"/>
      <c r="BR19" s="225"/>
      <c r="BS19" s="225"/>
      <c r="BT19" s="225"/>
      <c r="BU19" s="225"/>
      <c r="BV19" s="225"/>
      <c r="BW19" s="225"/>
      <c r="BX19" s="225"/>
      <c r="BY19" s="225"/>
      <c r="BZ19" s="225"/>
      <c r="CA19" s="225"/>
      <c r="CB19" s="225"/>
      <c r="CC19" s="225"/>
      <c r="CD19" s="225"/>
      <c r="CE19" s="225"/>
      <c r="CF19" s="225"/>
      <c r="CG19" s="225"/>
      <c r="CH19" s="380" t="s">
        <v>822</v>
      </c>
      <c r="CI19" s="380" t="s">
        <v>821</v>
      </c>
      <c r="CJ19" s="225" t="s">
        <v>743</v>
      </c>
      <c r="CK19" s="225"/>
      <c r="CL19" s="225"/>
      <c r="CM19" s="225"/>
      <c r="CN19" s="225" t="s">
        <v>836</v>
      </c>
      <c r="CO19" s="225"/>
      <c r="CP19" s="225" t="s">
        <v>833</v>
      </c>
    </row>
    <row r="20" spans="2:94" s="74" customFormat="1" ht="50.1" customHeight="1" x14ac:dyDescent="0.25">
      <c r="B20" s="98">
        <v>15</v>
      </c>
      <c r="C20" s="75" t="str">
        <f>Peserta_Didik!D17</f>
        <v>1314.10.121</v>
      </c>
      <c r="D20" s="99" t="str">
        <f>Peserta_Didik!C17</f>
        <v>Harry Sandi</v>
      </c>
      <c r="E20" s="380" t="s">
        <v>777</v>
      </c>
      <c r="F20" s="380" t="s">
        <v>778</v>
      </c>
      <c r="G20" s="225" t="s">
        <v>747</v>
      </c>
      <c r="H20" s="380" t="s">
        <v>786</v>
      </c>
      <c r="I20" s="380" t="s">
        <v>785</v>
      </c>
      <c r="J20" s="225" t="s">
        <v>747</v>
      </c>
      <c r="K20" s="380" t="s">
        <v>744</v>
      </c>
      <c r="L20" s="380" t="s">
        <v>746</v>
      </c>
      <c r="M20" s="225" t="s">
        <v>747</v>
      </c>
      <c r="N20" s="380" t="s">
        <v>748</v>
      </c>
      <c r="O20" s="380" t="s">
        <v>749</v>
      </c>
      <c r="P20" s="225" t="s">
        <v>747</v>
      </c>
      <c r="Q20" s="380" t="s">
        <v>757</v>
      </c>
      <c r="R20" s="380" t="s">
        <v>760</v>
      </c>
      <c r="S20" s="225" t="s">
        <v>743</v>
      </c>
      <c r="T20" s="380" t="s">
        <v>773</v>
      </c>
      <c r="U20" s="380" t="s">
        <v>774</v>
      </c>
      <c r="V20" s="225" t="s">
        <v>747</v>
      </c>
      <c r="W20" s="380" t="s">
        <v>787</v>
      </c>
      <c r="X20" s="380" t="s">
        <v>788</v>
      </c>
      <c r="Y20" s="225" t="s">
        <v>743</v>
      </c>
      <c r="Z20" s="380" t="s">
        <v>791</v>
      </c>
      <c r="AA20" s="380" t="s">
        <v>792</v>
      </c>
      <c r="AB20" s="225" t="s">
        <v>743</v>
      </c>
      <c r="AC20" s="380" t="s">
        <v>762</v>
      </c>
      <c r="AD20" s="380" t="s">
        <v>763</v>
      </c>
      <c r="AE20" s="225" t="s">
        <v>743</v>
      </c>
      <c r="AF20" s="380" t="s">
        <v>770</v>
      </c>
      <c r="AG20" s="380" t="s">
        <v>772</v>
      </c>
      <c r="AH20" s="225" t="s">
        <v>747</v>
      </c>
      <c r="AI20" s="380" t="s">
        <v>824</v>
      </c>
      <c r="AJ20" s="380" t="s">
        <v>827</v>
      </c>
      <c r="AK20" s="225" t="s">
        <v>743</v>
      </c>
      <c r="AL20" s="225"/>
      <c r="AM20" s="225"/>
      <c r="AN20" s="225"/>
      <c r="AO20" s="225"/>
      <c r="AP20" s="225"/>
      <c r="AQ20" s="225"/>
      <c r="AR20" s="225"/>
      <c r="AS20" s="225"/>
      <c r="AT20" s="225"/>
      <c r="AU20" s="225"/>
      <c r="AV20" s="225"/>
      <c r="AW20" s="225"/>
      <c r="AX20" s="380" t="s">
        <v>798</v>
      </c>
      <c r="AY20" s="380" t="s">
        <v>799</v>
      </c>
      <c r="AZ20" s="225" t="s">
        <v>747</v>
      </c>
      <c r="BA20" s="380" t="s">
        <v>828</v>
      </c>
      <c r="BB20" s="380" t="s">
        <v>831</v>
      </c>
      <c r="BC20" s="225" t="s">
        <v>743</v>
      </c>
      <c r="BD20" s="380" t="s">
        <v>800</v>
      </c>
      <c r="BE20" s="380" t="s">
        <v>803</v>
      </c>
      <c r="BF20" s="225" t="s">
        <v>743</v>
      </c>
      <c r="BG20" s="380" t="s">
        <v>806</v>
      </c>
      <c r="BH20" s="380" t="s">
        <v>807</v>
      </c>
      <c r="BI20" s="225" t="s">
        <v>743</v>
      </c>
      <c r="BJ20" s="380" t="s">
        <v>812</v>
      </c>
      <c r="BK20" s="380" t="s">
        <v>813</v>
      </c>
      <c r="BL20" s="225" t="s">
        <v>743</v>
      </c>
      <c r="BM20" s="380" t="s">
        <v>818</v>
      </c>
      <c r="BN20" s="380" t="s">
        <v>817</v>
      </c>
      <c r="BO20" s="225" t="s">
        <v>743</v>
      </c>
      <c r="BP20" s="225"/>
      <c r="BQ20" s="225"/>
      <c r="BR20" s="225"/>
      <c r="BS20" s="225"/>
      <c r="BT20" s="225"/>
      <c r="BU20" s="225"/>
      <c r="BV20" s="225"/>
      <c r="BW20" s="225"/>
      <c r="BX20" s="225"/>
      <c r="BY20" s="225"/>
      <c r="BZ20" s="225"/>
      <c r="CA20" s="225"/>
      <c r="CB20" s="225"/>
      <c r="CC20" s="225"/>
      <c r="CD20" s="225"/>
      <c r="CE20" s="225"/>
      <c r="CF20" s="225"/>
      <c r="CG20" s="225"/>
      <c r="CH20" s="380" t="s">
        <v>820</v>
      </c>
      <c r="CI20" s="380" t="s">
        <v>823</v>
      </c>
      <c r="CJ20" s="225" t="s">
        <v>743</v>
      </c>
      <c r="CK20" s="225"/>
      <c r="CL20" s="225"/>
      <c r="CM20" s="225"/>
      <c r="CN20" s="225" t="s">
        <v>836</v>
      </c>
      <c r="CO20" s="225"/>
      <c r="CP20" s="225" t="s">
        <v>833</v>
      </c>
    </row>
    <row r="21" spans="2:94" s="74" customFormat="1" ht="50.1" customHeight="1" x14ac:dyDescent="0.25">
      <c r="B21" s="98">
        <v>16</v>
      </c>
      <c r="C21" s="75" t="str">
        <f>Peserta_Didik!D18</f>
        <v>1314.10.122</v>
      </c>
      <c r="D21" s="99" t="str">
        <f>Peserta_Didik!C18</f>
        <v>Hilman Fajri Fahriansyah</v>
      </c>
      <c r="E21" s="380" t="s">
        <v>779</v>
      </c>
      <c r="F21" s="380" t="s">
        <v>776</v>
      </c>
      <c r="G21" s="225" t="s">
        <v>743</v>
      </c>
      <c r="H21" s="380" t="s">
        <v>781</v>
      </c>
      <c r="I21" s="380" t="s">
        <v>785</v>
      </c>
      <c r="J21" s="225" t="s">
        <v>743</v>
      </c>
      <c r="K21" s="380" t="s">
        <v>741</v>
      </c>
      <c r="L21" s="380" t="s">
        <v>742</v>
      </c>
      <c r="M21" s="225" t="s">
        <v>743</v>
      </c>
      <c r="N21" s="380" t="s">
        <v>753</v>
      </c>
      <c r="O21" s="380" t="s">
        <v>752</v>
      </c>
      <c r="P21" s="225" t="s">
        <v>743</v>
      </c>
      <c r="Q21" s="380" t="s">
        <v>761</v>
      </c>
      <c r="R21" s="380" t="s">
        <v>758</v>
      </c>
      <c r="S21" s="225" t="s">
        <v>743</v>
      </c>
      <c r="T21" s="380" t="s">
        <v>773</v>
      </c>
      <c r="U21" s="380" t="s">
        <v>774</v>
      </c>
      <c r="V21" s="225" t="s">
        <v>743</v>
      </c>
      <c r="W21" s="380" t="s">
        <v>787</v>
      </c>
      <c r="X21" s="380" t="s">
        <v>788</v>
      </c>
      <c r="Y21" s="225" t="s">
        <v>743</v>
      </c>
      <c r="Z21" s="380" t="s">
        <v>795</v>
      </c>
      <c r="AA21" s="380" t="s">
        <v>794</v>
      </c>
      <c r="AB21" s="225" t="s">
        <v>743</v>
      </c>
      <c r="AC21" s="380" t="s">
        <v>765</v>
      </c>
      <c r="AD21" s="380" t="s">
        <v>763</v>
      </c>
      <c r="AE21" s="225" t="s">
        <v>743</v>
      </c>
      <c r="AF21" s="380" t="s">
        <v>770</v>
      </c>
      <c r="AG21" s="380" t="s">
        <v>767</v>
      </c>
      <c r="AH21" s="225" t="s">
        <v>743</v>
      </c>
      <c r="AI21" s="380" t="s">
        <v>824</v>
      </c>
      <c r="AJ21" s="380" t="s">
        <v>825</v>
      </c>
      <c r="AK21" s="225" t="s">
        <v>743</v>
      </c>
      <c r="AL21" s="225"/>
      <c r="AM21" s="225"/>
      <c r="AN21" s="225"/>
      <c r="AO21" s="225"/>
      <c r="AP21" s="225"/>
      <c r="AQ21" s="225"/>
      <c r="AR21" s="225"/>
      <c r="AS21" s="225"/>
      <c r="AT21" s="225"/>
      <c r="AU21" s="225"/>
      <c r="AV21" s="225"/>
      <c r="AW21" s="225"/>
      <c r="AX21" s="380" t="s">
        <v>796</v>
      </c>
      <c r="AY21" s="380" t="s">
        <v>799</v>
      </c>
      <c r="AZ21" s="225" t="s">
        <v>743</v>
      </c>
      <c r="BA21" s="380" t="s">
        <v>828</v>
      </c>
      <c r="BB21" s="380" t="s">
        <v>831</v>
      </c>
      <c r="BC21" s="225" t="s">
        <v>743</v>
      </c>
      <c r="BD21" s="380" t="s">
        <v>800</v>
      </c>
      <c r="BE21" s="380" t="s">
        <v>803</v>
      </c>
      <c r="BF21" s="225" t="s">
        <v>743</v>
      </c>
      <c r="BG21" s="380" t="s">
        <v>809</v>
      </c>
      <c r="BH21" s="380" t="s">
        <v>807</v>
      </c>
      <c r="BI21" s="225" t="s">
        <v>743</v>
      </c>
      <c r="BJ21" s="380" t="s">
        <v>815</v>
      </c>
      <c r="BK21" s="380" t="s">
        <v>811</v>
      </c>
      <c r="BL21" s="225" t="s">
        <v>743</v>
      </c>
      <c r="BM21" s="380" t="s">
        <v>818</v>
      </c>
      <c r="BN21" s="380" t="s">
        <v>817</v>
      </c>
      <c r="BO21" s="225" t="s">
        <v>743</v>
      </c>
      <c r="BP21" s="225"/>
      <c r="BQ21" s="225"/>
      <c r="BR21" s="225"/>
      <c r="BS21" s="225"/>
      <c r="BT21" s="225"/>
      <c r="BU21" s="225"/>
      <c r="BV21" s="225"/>
      <c r="BW21" s="225"/>
      <c r="BX21" s="225"/>
      <c r="BY21" s="225"/>
      <c r="BZ21" s="225"/>
      <c r="CA21" s="225"/>
      <c r="CB21" s="225"/>
      <c r="CC21" s="225"/>
      <c r="CD21" s="225"/>
      <c r="CE21" s="225"/>
      <c r="CF21" s="225"/>
      <c r="CG21" s="225"/>
      <c r="CH21" s="380" t="s">
        <v>822</v>
      </c>
      <c r="CI21" s="380" t="s">
        <v>821</v>
      </c>
      <c r="CJ21" s="225" t="s">
        <v>743</v>
      </c>
      <c r="CK21" s="225"/>
      <c r="CL21" s="225"/>
      <c r="CM21" s="225"/>
      <c r="CN21" s="225" t="s">
        <v>836</v>
      </c>
      <c r="CO21" s="225"/>
      <c r="CP21" s="225"/>
    </row>
    <row r="22" spans="2:94" s="74" customFormat="1" ht="50.1" customHeight="1" x14ac:dyDescent="0.25">
      <c r="B22" s="98">
        <v>17</v>
      </c>
      <c r="C22" s="75" t="str">
        <f>Peserta_Didik!D19</f>
        <v>1314.10.123</v>
      </c>
      <c r="D22" s="99" t="str">
        <f>Peserta_Didik!C19</f>
        <v>Ilham Sidiq</v>
      </c>
      <c r="E22" s="380" t="s">
        <v>779</v>
      </c>
      <c r="F22" s="380" t="s">
        <v>776</v>
      </c>
      <c r="G22" s="225" t="s">
        <v>743</v>
      </c>
      <c r="H22" s="380" t="s">
        <v>781</v>
      </c>
      <c r="I22" s="380" t="s">
        <v>785</v>
      </c>
      <c r="J22" s="225" t="s">
        <v>743</v>
      </c>
      <c r="K22" s="380" t="s">
        <v>744</v>
      </c>
      <c r="L22" s="380" t="s">
        <v>742</v>
      </c>
      <c r="M22" s="225" t="s">
        <v>743</v>
      </c>
      <c r="N22" s="380" t="s">
        <v>748</v>
      </c>
      <c r="O22" s="380" t="s">
        <v>749</v>
      </c>
      <c r="P22" s="225" t="s">
        <v>743</v>
      </c>
      <c r="Q22" s="380" t="s">
        <v>761</v>
      </c>
      <c r="R22" s="380" t="s">
        <v>758</v>
      </c>
      <c r="S22" s="225" t="s">
        <v>743</v>
      </c>
      <c r="T22" s="380" t="s">
        <v>773</v>
      </c>
      <c r="U22" s="380" t="s">
        <v>774</v>
      </c>
      <c r="V22" s="225" t="s">
        <v>743</v>
      </c>
      <c r="W22" s="380" t="s">
        <v>787</v>
      </c>
      <c r="X22" s="380" t="s">
        <v>788</v>
      </c>
      <c r="Y22" s="225" t="s">
        <v>743</v>
      </c>
      <c r="Z22" s="380" t="s">
        <v>791</v>
      </c>
      <c r="AA22" s="380" t="s">
        <v>792</v>
      </c>
      <c r="AB22" s="225" t="s">
        <v>743</v>
      </c>
      <c r="AC22" s="380" t="s">
        <v>762</v>
      </c>
      <c r="AD22" s="380" t="s">
        <v>763</v>
      </c>
      <c r="AE22" s="225" t="s">
        <v>743</v>
      </c>
      <c r="AF22" s="380" t="s">
        <v>770</v>
      </c>
      <c r="AG22" s="380" t="s">
        <v>767</v>
      </c>
      <c r="AH22" s="225" t="s">
        <v>743</v>
      </c>
      <c r="AI22" s="380" t="s">
        <v>824</v>
      </c>
      <c r="AJ22" s="380" t="s">
        <v>825</v>
      </c>
      <c r="AK22" s="225" t="s">
        <v>743</v>
      </c>
      <c r="AL22" s="225"/>
      <c r="AM22" s="225"/>
      <c r="AN22" s="225"/>
      <c r="AO22" s="225"/>
      <c r="AP22" s="225"/>
      <c r="AQ22" s="225"/>
      <c r="AR22" s="225"/>
      <c r="AS22" s="225"/>
      <c r="AT22" s="225"/>
      <c r="AU22" s="225"/>
      <c r="AV22" s="225"/>
      <c r="AW22" s="225"/>
      <c r="AX22" s="380" t="s">
        <v>796</v>
      </c>
      <c r="AY22" s="380" t="s">
        <v>799</v>
      </c>
      <c r="AZ22" s="225" t="s">
        <v>743</v>
      </c>
      <c r="BA22" s="380" t="s">
        <v>828</v>
      </c>
      <c r="BB22" s="380" t="s">
        <v>831</v>
      </c>
      <c r="BC22" s="225" t="s">
        <v>743</v>
      </c>
      <c r="BD22" s="380" t="s">
        <v>800</v>
      </c>
      <c r="BE22" s="380" t="s">
        <v>803</v>
      </c>
      <c r="BF22" s="225" t="s">
        <v>743</v>
      </c>
      <c r="BG22" s="380" t="s">
        <v>809</v>
      </c>
      <c r="BH22" s="380" t="s">
        <v>807</v>
      </c>
      <c r="BI22" s="225" t="s">
        <v>743</v>
      </c>
      <c r="BJ22" s="380" t="s">
        <v>815</v>
      </c>
      <c r="BK22" s="380" t="s">
        <v>811</v>
      </c>
      <c r="BL22" s="225" t="s">
        <v>743</v>
      </c>
      <c r="BM22" s="380" t="s">
        <v>816</v>
      </c>
      <c r="BN22" s="380" t="s">
        <v>817</v>
      </c>
      <c r="BO22" s="225" t="s">
        <v>743</v>
      </c>
      <c r="BP22" s="225"/>
      <c r="BQ22" s="225"/>
      <c r="BR22" s="225"/>
      <c r="BS22" s="225"/>
      <c r="BT22" s="225"/>
      <c r="BU22" s="225"/>
      <c r="BV22" s="225"/>
      <c r="BW22" s="225"/>
      <c r="BX22" s="225"/>
      <c r="BY22" s="225"/>
      <c r="BZ22" s="225"/>
      <c r="CA22" s="225"/>
      <c r="CB22" s="225"/>
      <c r="CC22" s="225"/>
      <c r="CD22" s="225"/>
      <c r="CE22" s="225"/>
      <c r="CF22" s="225"/>
      <c r="CG22" s="225"/>
      <c r="CH22" s="380" t="s">
        <v>820</v>
      </c>
      <c r="CI22" s="380" t="s">
        <v>821</v>
      </c>
      <c r="CJ22" s="225" t="s">
        <v>743</v>
      </c>
      <c r="CK22" s="225"/>
      <c r="CL22" s="225"/>
      <c r="CM22" s="225"/>
      <c r="CN22" s="225" t="s">
        <v>835</v>
      </c>
      <c r="CO22" s="225" t="s">
        <v>834</v>
      </c>
      <c r="CP22" s="225"/>
    </row>
    <row r="23" spans="2:94" s="74" customFormat="1" ht="50.1" customHeight="1" x14ac:dyDescent="0.25">
      <c r="B23" s="98">
        <v>18</v>
      </c>
      <c r="C23" s="75" t="str">
        <f>Peserta_Didik!D20</f>
        <v>1314.10.124</v>
      </c>
      <c r="D23" s="99" t="str">
        <f>Peserta_Didik!C20</f>
        <v>Irfan Ahmad Fadhil</v>
      </c>
      <c r="E23" s="380" t="s">
        <v>779</v>
      </c>
      <c r="F23" s="380" t="s">
        <v>776</v>
      </c>
      <c r="G23" s="225" t="s">
        <v>743</v>
      </c>
      <c r="H23" s="380" t="s">
        <v>781</v>
      </c>
      <c r="I23" s="380" t="s">
        <v>785</v>
      </c>
      <c r="J23" s="225" t="s">
        <v>743</v>
      </c>
      <c r="K23" s="380" t="s">
        <v>744</v>
      </c>
      <c r="L23" s="380" t="s">
        <v>742</v>
      </c>
      <c r="M23" s="225" t="s">
        <v>743</v>
      </c>
      <c r="N23" s="380" t="s">
        <v>748</v>
      </c>
      <c r="O23" s="380" t="s">
        <v>749</v>
      </c>
      <c r="P23" s="225" t="s">
        <v>743</v>
      </c>
      <c r="Q23" s="380" t="s">
        <v>757</v>
      </c>
      <c r="R23" s="380" t="s">
        <v>758</v>
      </c>
      <c r="S23" s="225" t="s">
        <v>743</v>
      </c>
      <c r="T23" s="380" t="s">
        <v>773</v>
      </c>
      <c r="U23" s="380" t="s">
        <v>774</v>
      </c>
      <c r="V23" s="225" t="s">
        <v>743</v>
      </c>
      <c r="W23" s="380" t="s">
        <v>787</v>
      </c>
      <c r="X23" s="380" t="s">
        <v>788</v>
      </c>
      <c r="Y23" s="225" t="s">
        <v>743</v>
      </c>
      <c r="Z23" s="380" t="s">
        <v>791</v>
      </c>
      <c r="AA23" s="380" t="s">
        <v>794</v>
      </c>
      <c r="AB23" s="225" t="s">
        <v>743</v>
      </c>
      <c r="AC23" s="380" t="s">
        <v>762</v>
      </c>
      <c r="AD23" s="380" t="s">
        <v>763</v>
      </c>
      <c r="AE23" s="225" t="s">
        <v>743</v>
      </c>
      <c r="AF23" s="380" t="s">
        <v>770</v>
      </c>
      <c r="AG23" s="380" t="s">
        <v>772</v>
      </c>
      <c r="AH23" s="225" t="s">
        <v>747</v>
      </c>
      <c r="AI23" s="380" t="s">
        <v>824</v>
      </c>
      <c r="AJ23" s="380" t="s">
        <v>825</v>
      </c>
      <c r="AK23" s="225" t="s">
        <v>743</v>
      </c>
      <c r="AL23" s="225"/>
      <c r="AM23" s="225"/>
      <c r="AN23" s="225"/>
      <c r="AO23" s="225"/>
      <c r="AP23" s="225"/>
      <c r="AQ23" s="225"/>
      <c r="AR23" s="225"/>
      <c r="AS23" s="225"/>
      <c r="AT23" s="225"/>
      <c r="AU23" s="225"/>
      <c r="AV23" s="225"/>
      <c r="AW23" s="225"/>
      <c r="AX23" s="380" t="s">
        <v>796</v>
      </c>
      <c r="AY23" s="380" t="s">
        <v>799</v>
      </c>
      <c r="AZ23" s="225" t="s">
        <v>743</v>
      </c>
      <c r="BA23" s="380" t="s">
        <v>828</v>
      </c>
      <c r="BB23" s="380" t="s">
        <v>829</v>
      </c>
      <c r="BC23" s="225" t="s">
        <v>743</v>
      </c>
      <c r="BD23" s="380" t="s">
        <v>802</v>
      </c>
      <c r="BE23" s="380" t="s">
        <v>803</v>
      </c>
      <c r="BF23" s="225" t="s">
        <v>743</v>
      </c>
      <c r="BG23" s="380" t="s">
        <v>809</v>
      </c>
      <c r="BH23" s="380" t="s">
        <v>807</v>
      </c>
      <c r="BI23" s="225" t="s">
        <v>743</v>
      </c>
      <c r="BJ23" s="380" t="s">
        <v>810</v>
      </c>
      <c r="BK23" s="380" t="s">
        <v>811</v>
      </c>
      <c r="BL23" s="225" t="s">
        <v>743</v>
      </c>
      <c r="BM23" s="380" t="s">
        <v>816</v>
      </c>
      <c r="BN23" s="380" t="s">
        <v>817</v>
      </c>
      <c r="BO23" s="225" t="s">
        <v>743</v>
      </c>
      <c r="BP23" s="225"/>
      <c r="BQ23" s="225"/>
      <c r="BR23" s="225"/>
      <c r="BS23" s="225"/>
      <c r="BT23" s="225"/>
      <c r="BU23" s="225"/>
      <c r="BV23" s="225"/>
      <c r="BW23" s="225"/>
      <c r="BX23" s="225"/>
      <c r="BY23" s="225"/>
      <c r="BZ23" s="225"/>
      <c r="CA23" s="225"/>
      <c r="CB23" s="225"/>
      <c r="CC23" s="225"/>
      <c r="CD23" s="225"/>
      <c r="CE23" s="225"/>
      <c r="CF23" s="225"/>
      <c r="CG23" s="225"/>
      <c r="CH23" s="380" t="s">
        <v>820</v>
      </c>
      <c r="CI23" s="380" t="s">
        <v>821</v>
      </c>
      <c r="CJ23" s="225" t="s">
        <v>743</v>
      </c>
      <c r="CK23" s="225"/>
      <c r="CL23" s="225"/>
      <c r="CM23" s="225"/>
      <c r="CN23" s="225" t="s">
        <v>835</v>
      </c>
      <c r="CO23" s="225"/>
      <c r="CP23" s="225" t="s">
        <v>833</v>
      </c>
    </row>
    <row r="24" spans="2:94" s="74" customFormat="1" ht="50.1" customHeight="1" x14ac:dyDescent="0.25">
      <c r="B24" s="98">
        <v>19</v>
      </c>
      <c r="C24" s="75" t="str">
        <f>Peserta_Didik!D21</f>
        <v>1314.10.125</v>
      </c>
      <c r="D24" s="99" t="str">
        <f>Peserta_Didik!C21</f>
        <v>Kharismauli Cindi Cenora BR Limbong</v>
      </c>
      <c r="E24" s="380" t="s">
        <v>775</v>
      </c>
      <c r="F24" s="380" t="s">
        <v>780</v>
      </c>
      <c r="G24" s="225" t="s">
        <v>743</v>
      </c>
      <c r="H24" s="380" t="s">
        <v>786</v>
      </c>
      <c r="I24" s="380" t="s">
        <v>785</v>
      </c>
      <c r="J24" s="225" t="s">
        <v>743</v>
      </c>
      <c r="K24" s="380" t="s">
        <v>744</v>
      </c>
      <c r="L24" s="380" t="s">
        <v>742</v>
      </c>
      <c r="M24" s="225" t="s">
        <v>743</v>
      </c>
      <c r="N24" s="380" t="s">
        <v>748</v>
      </c>
      <c r="O24" s="380" t="s">
        <v>749</v>
      </c>
      <c r="P24" s="225" t="s">
        <v>743</v>
      </c>
      <c r="Q24" s="380" t="s">
        <v>761</v>
      </c>
      <c r="R24" s="380" t="s">
        <v>760</v>
      </c>
      <c r="S24" s="225" t="s">
        <v>743</v>
      </c>
      <c r="T24" s="380" t="s">
        <v>773</v>
      </c>
      <c r="U24" s="380" t="s">
        <v>774</v>
      </c>
      <c r="V24" s="225" t="s">
        <v>743</v>
      </c>
      <c r="W24" s="380" t="s">
        <v>789</v>
      </c>
      <c r="X24" s="380" t="s">
        <v>790</v>
      </c>
      <c r="Y24" s="225" t="s">
        <v>743</v>
      </c>
      <c r="Z24" s="380" t="s">
        <v>793</v>
      </c>
      <c r="AA24" s="380" t="s">
        <v>794</v>
      </c>
      <c r="AB24" s="225" t="s">
        <v>743</v>
      </c>
      <c r="AC24" s="380" t="s">
        <v>762</v>
      </c>
      <c r="AD24" s="380" t="s">
        <v>763</v>
      </c>
      <c r="AE24" s="225" t="s">
        <v>743</v>
      </c>
      <c r="AF24" s="380" t="s">
        <v>770</v>
      </c>
      <c r="AG24" s="380" t="s">
        <v>767</v>
      </c>
      <c r="AH24" s="225" t="s">
        <v>743</v>
      </c>
      <c r="AI24" s="380" t="s">
        <v>824</v>
      </c>
      <c r="AJ24" s="380" t="s">
        <v>825</v>
      </c>
      <c r="AK24" s="225" t="s">
        <v>743</v>
      </c>
      <c r="AL24" s="225"/>
      <c r="AM24" s="225"/>
      <c r="AN24" s="225"/>
      <c r="AO24" s="225"/>
      <c r="AP24" s="225"/>
      <c r="AQ24" s="225"/>
      <c r="AR24" s="225"/>
      <c r="AS24" s="225"/>
      <c r="AT24" s="225"/>
      <c r="AU24" s="225"/>
      <c r="AV24" s="225"/>
      <c r="AW24" s="225"/>
      <c r="AX24" s="380" t="s">
        <v>798</v>
      </c>
      <c r="AY24" s="380" t="s">
        <v>799</v>
      </c>
      <c r="AZ24" s="225" t="s">
        <v>743</v>
      </c>
      <c r="BA24" s="380" t="s">
        <v>828</v>
      </c>
      <c r="BB24" s="380" t="s">
        <v>829</v>
      </c>
      <c r="BC24" s="225" t="s">
        <v>743</v>
      </c>
      <c r="BD24" s="380" t="s">
        <v>800</v>
      </c>
      <c r="BE24" s="380" t="s">
        <v>803</v>
      </c>
      <c r="BF24" s="225" t="s">
        <v>743</v>
      </c>
      <c r="BG24" s="380" t="s">
        <v>804</v>
      </c>
      <c r="BH24" s="380" t="s">
        <v>807</v>
      </c>
      <c r="BI24" s="225" t="s">
        <v>743</v>
      </c>
      <c r="BJ24" s="380" t="s">
        <v>810</v>
      </c>
      <c r="BK24" s="380" t="s">
        <v>811</v>
      </c>
      <c r="BL24" s="225" t="s">
        <v>743</v>
      </c>
      <c r="BM24" s="380" t="s">
        <v>816</v>
      </c>
      <c r="BN24" s="380" t="s">
        <v>817</v>
      </c>
      <c r="BO24" s="225" t="s">
        <v>743</v>
      </c>
      <c r="BP24" s="225"/>
      <c r="BQ24" s="225"/>
      <c r="BR24" s="225"/>
      <c r="BS24" s="225"/>
      <c r="BT24" s="225"/>
      <c r="BU24" s="225"/>
      <c r="BV24" s="225"/>
      <c r="BW24" s="225"/>
      <c r="BX24" s="225"/>
      <c r="BY24" s="225"/>
      <c r="BZ24" s="225"/>
      <c r="CA24" s="225"/>
      <c r="CB24" s="225"/>
      <c r="CC24" s="225"/>
      <c r="CD24" s="225"/>
      <c r="CE24" s="225"/>
      <c r="CF24" s="225"/>
      <c r="CG24" s="225"/>
      <c r="CH24" s="380" t="s">
        <v>820</v>
      </c>
      <c r="CI24" s="380" t="s">
        <v>821</v>
      </c>
      <c r="CJ24" s="225" t="s">
        <v>743</v>
      </c>
      <c r="CK24" s="225"/>
      <c r="CL24" s="225"/>
      <c r="CM24" s="225"/>
      <c r="CN24" s="225" t="s">
        <v>835</v>
      </c>
      <c r="CO24" s="225"/>
      <c r="CP24" s="225"/>
    </row>
    <row r="25" spans="2:94" s="74" customFormat="1" ht="50.1" customHeight="1" x14ac:dyDescent="0.25">
      <c r="B25" s="98">
        <v>20</v>
      </c>
      <c r="C25" s="75" t="str">
        <f>Peserta_Didik!D22</f>
        <v>1314.10.126</v>
      </c>
      <c r="D25" s="99" t="str">
        <f>Peserta_Didik!C22</f>
        <v>Lalan Maulana Yusup</v>
      </c>
      <c r="E25" s="380" t="s">
        <v>779</v>
      </c>
      <c r="F25" s="380" t="s">
        <v>776</v>
      </c>
      <c r="G25" s="225" t="s">
        <v>743</v>
      </c>
      <c r="H25" s="380" t="s">
        <v>781</v>
      </c>
      <c r="I25" s="380" t="s">
        <v>785</v>
      </c>
      <c r="J25" s="225" t="s">
        <v>743</v>
      </c>
      <c r="K25" s="380" t="s">
        <v>744</v>
      </c>
      <c r="L25" s="380" t="s">
        <v>742</v>
      </c>
      <c r="M25" s="225" t="s">
        <v>743</v>
      </c>
      <c r="N25" s="380" t="s">
        <v>748</v>
      </c>
      <c r="O25" s="380" t="s">
        <v>749</v>
      </c>
      <c r="P25" s="225" t="s">
        <v>743</v>
      </c>
      <c r="Q25" s="380" t="s">
        <v>757</v>
      </c>
      <c r="R25" s="380" t="s">
        <v>760</v>
      </c>
      <c r="S25" s="225" t="s">
        <v>743</v>
      </c>
      <c r="T25" s="380" t="s">
        <v>773</v>
      </c>
      <c r="U25" s="380" t="s">
        <v>774</v>
      </c>
      <c r="V25" s="225" t="s">
        <v>743</v>
      </c>
      <c r="W25" s="380" t="s">
        <v>787</v>
      </c>
      <c r="X25" s="380" t="s">
        <v>788</v>
      </c>
      <c r="Y25" s="225" t="s">
        <v>743</v>
      </c>
      <c r="Z25" s="380" t="s">
        <v>795</v>
      </c>
      <c r="AA25" s="380" t="s">
        <v>794</v>
      </c>
      <c r="AB25" s="225" t="s">
        <v>743</v>
      </c>
      <c r="AC25" s="380" t="s">
        <v>762</v>
      </c>
      <c r="AD25" s="380" t="s">
        <v>763</v>
      </c>
      <c r="AE25" s="225" t="s">
        <v>743</v>
      </c>
      <c r="AF25" s="380" t="s">
        <v>770</v>
      </c>
      <c r="AG25" s="380" t="s">
        <v>767</v>
      </c>
      <c r="AH25" s="225" t="s">
        <v>743</v>
      </c>
      <c r="AI25" s="380" t="s">
        <v>824</v>
      </c>
      <c r="AJ25" s="380" t="s">
        <v>825</v>
      </c>
      <c r="AK25" s="225" t="s">
        <v>743</v>
      </c>
      <c r="AL25" s="225"/>
      <c r="AM25" s="225"/>
      <c r="AN25" s="225"/>
      <c r="AO25" s="225"/>
      <c r="AP25" s="225"/>
      <c r="AQ25" s="225"/>
      <c r="AR25" s="225"/>
      <c r="AS25" s="225"/>
      <c r="AT25" s="225"/>
      <c r="AU25" s="225"/>
      <c r="AV25" s="225"/>
      <c r="AW25" s="225"/>
      <c r="AX25" s="380" t="s">
        <v>796</v>
      </c>
      <c r="AY25" s="380" t="s">
        <v>799</v>
      </c>
      <c r="AZ25" s="225" t="s">
        <v>743</v>
      </c>
      <c r="BA25" s="380" t="s">
        <v>828</v>
      </c>
      <c r="BB25" s="380" t="s">
        <v>829</v>
      </c>
      <c r="BC25" s="225" t="s">
        <v>743</v>
      </c>
      <c r="BD25" s="380" t="s">
        <v>802</v>
      </c>
      <c r="BE25" s="380" t="s">
        <v>803</v>
      </c>
      <c r="BF25" s="225" t="s">
        <v>743</v>
      </c>
      <c r="BG25" s="380" t="s">
        <v>809</v>
      </c>
      <c r="BH25" s="380" t="s">
        <v>807</v>
      </c>
      <c r="BI25" s="225" t="s">
        <v>743</v>
      </c>
      <c r="BJ25" s="380" t="s">
        <v>810</v>
      </c>
      <c r="BK25" s="380" t="s">
        <v>811</v>
      </c>
      <c r="BL25" s="225" t="s">
        <v>743</v>
      </c>
      <c r="BM25" s="380" t="s">
        <v>816</v>
      </c>
      <c r="BN25" s="380" t="s">
        <v>819</v>
      </c>
      <c r="BO25" s="225" t="s">
        <v>743</v>
      </c>
      <c r="BP25" s="225"/>
      <c r="BQ25" s="225"/>
      <c r="BR25" s="225"/>
      <c r="BS25" s="225"/>
      <c r="BT25" s="225"/>
      <c r="BU25" s="225"/>
      <c r="BV25" s="225"/>
      <c r="BW25" s="225"/>
      <c r="BX25" s="225"/>
      <c r="BY25" s="225"/>
      <c r="BZ25" s="225"/>
      <c r="CA25" s="225"/>
      <c r="CB25" s="225"/>
      <c r="CC25" s="225"/>
      <c r="CD25" s="225"/>
      <c r="CE25" s="225"/>
      <c r="CF25" s="225"/>
      <c r="CG25" s="225"/>
      <c r="CH25" s="380" t="s">
        <v>820</v>
      </c>
      <c r="CI25" s="380" t="s">
        <v>821</v>
      </c>
      <c r="CJ25" s="225" t="s">
        <v>743</v>
      </c>
      <c r="CK25" s="225"/>
      <c r="CL25" s="225"/>
      <c r="CM25" s="225"/>
      <c r="CN25" s="225" t="s">
        <v>835</v>
      </c>
      <c r="CO25" s="225"/>
      <c r="CP25" s="225"/>
    </row>
    <row r="26" spans="2:94" s="74" customFormat="1" ht="50.1" customHeight="1" x14ac:dyDescent="0.25">
      <c r="B26" s="98">
        <v>21</v>
      </c>
      <c r="C26" s="75" t="str">
        <f>Peserta_Didik!D23</f>
        <v>1314.10.127</v>
      </c>
      <c r="D26" s="99" t="str">
        <f>Peserta_Didik!C23</f>
        <v>Leni Yuniar</v>
      </c>
      <c r="E26" s="380" t="s">
        <v>779</v>
      </c>
      <c r="F26" s="380" t="s">
        <v>776</v>
      </c>
      <c r="G26" s="225" t="s">
        <v>743</v>
      </c>
      <c r="H26" s="380" t="s">
        <v>781</v>
      </c>
      <c r="I26" s="380" t="s">
        <v>785</v>
      </c>
      <c r="J26" s="225" t="s">
        <v>743</v>
      </c>
      <c r="K26" s="380" t="s">
        <v>744</v>
      </c>
      <c r="L26" s="380" t="s">
        <v>742</v>
      </c>
      <c r="M26" s="225" t="s">
        <v>743</v>
      </c>
      <c r="N26" s="380" t="s">
        <v>748</v>
      </c>
      <c r="O26" s="380" t="s">
        <v>749</v>
      </c>
      <c r="P26" s="225" t="s">
        <v>743</v>
      </c>
      <c r="Q26" s="380" t="s">
        <v>757</v>
      </c>
      <c r="R26" s="380" t="s">
        <v>760</v>
      </c>
      <c r="S26" s="225" t="s">
        <v>743</v>
      </c>
      <c r="T26" s="380" t="s">
        <v>773</v>
      </c>
      <c r="U26" s="380" t="s">
        <v>774</v>
      </c>
      <c r="V26" s="225" t="s">
        <v>743</v>
      </c>
      <c r="W26" s="380" t="s">
        <v>787</v>
      </c>
      <c r="X26" s="380" t="s">
        <v>788</v>
      </c>
      <c r="Y26" s="225" t="s">
        <v>743</v>
      </c>
      <c r="Z26" s="380" t="s">
        <v>791</v>
      </c>
      <c r="AA26" s="380" t="s">
        <v>794</v>
      </c>
      <c r="AB26" s="225" t="s">
        <v>743</v>
      </c>
      <c r="AC26" s="380" t="s">
        <v>762</v>
      </c>
      <c r="AD26" s="380" t="s">
        <v>763</v>
      </c>
      <c r="AE26" s="225" t="s">
        <v>743</v>
      </c>
      <c r="AF26" s="380" t="s">
        <v>770</v>
      </c>
      <c r="AG26" s="380" t="s">
        <v>767</v>
      </c>
      <c r="AH26" s="225" t="s">
        <v>747</v>
      </c>
      <c r="AI26" s="380" t="s">
        <v>824</v>
      </c>
      <c r="AJ26" s="380" t="s">
        <v>827</v>
      </c>
      <c r="AK26" s="225" t="s">
        <v>743</v>
      </c>
      <c r="AL26" s="225"/>
      <c r="AM26" s="225"/>
      <c r="AN26" s="225"/>
      <c r="AO26" s="225"/>
      <c r="AP26" s="225"/>
      <c r="AQ26" s="225"/>
      <c r="AR26" s="225"/>
      <c r="AS26" s="225"/>
      <c r="AT26" s="225"/>
      <c r="AU26" s="225"/>
      <c r="AV26" s="225"/>
      <c r="AW26" s="225"/>
      <c r="AX26" s="380" t="s">
        <v>796</v>
      </c>
      <c r="AY26" s="380" t="s">
        <v>799</v>
      </c>
      <c r="AZ26" s="225" t="s">
        <v>743</v>
      </c>
      <c r="BA26" s="380" t="s">
        <v>830</v>
      </c>
      <c r="BB26" s="380" t="s">
        <v>829</v>
      </c>
      <c r="BC26" s="225" t="s">
        <v>743</v>
      </c>
      <c r="BD26" s="380" t="s">
        <v>802</v>
      </c>
      <c r="BE26" s="380" t="s">
        <v>803</v>
      </c>
      <c r="BF26" s="225" t="s">
        <v>743</v>
      </c>
      <c r="BG26" s="380" t="s">
        <v>809</v>
      </c>
      <c r="BH26" s="380" t="s">
        <v>807</v>
      </c>
      <c r="BI26" s="225" t="s">
        <v>743</v>
      </c>
      <c r="BJ26" s="380" t="s">
        <v>810</v>
      </c>
      <c r="BK26" s="380" t="s">
        <v>811</v>
      </c>
      <c r="BL26" s="225" t="s">
        <v>743</v>
      </c>
      <c r="BM26" s="380" t="s">
        <v>818</v>
      </c>
      <c r="BN26" s="380" t="s">
        <v>817</v>
      </c>
      <c r="BO26" s="225" t="s">
        <v>743</v>
      </c>
      <c r="BP26" s="225"/>
      <c r="BQ26" s="225"/>
      <c r="BR26" s="225"/>
      <c r="BS26" s="225"/>
      <c r="BT26" s="225"/>
      <c r="BU26" s="225"/>
      <c r="BV26" s="225"/>
      <c r="BW26" s="225"/>
      <c r="BX26" s="225"/>
      <c r="BY26" s="225"/>
      <c r="BZ26" s="225"/>
      <c r="CA26" s="225"/>
      <c r="CB26" s="225"/>
      <c r="CC26" s="225"/>
      <c r="CD26" s="225"/>
      <c r="CE26" s="225"/>
      <c r="CF26" s="225"/>
      <c r="CG26" s="225"/>
      <c r="CH26" s="380" t="s">
        <v>822</v>
      </c>
      <c r="CI26" s="380" t="s">
        <v>821</v>
      </c>
      <c r="CJ26" s="225" t="s">
        <v>743</v>
      </c>
      <c r="CK26" s="225"/>
      <c r="CL26" s="225"/>
      <c r="CM26" s="225"/>
      <c r="CN26" s="225" t="s">
        <v>836</v>
      </c>
      <c r="CO26" s="225"/>
      <c r="CP26" s="225"/>
    </row>
    <row r="27" spans="2:94" s="74" customFormat="1" ht="50.1" customHeight="1" x14ac:dyDescent="0.25">
      <c r="B27" s="98">
        <v>22</v>
      </c>
      <c r="C27" s="75" t="str">
        <f>Peserta_Didik!D24</f>
        <v>1314.10.128</v>
      </c>
      <c r="D27" s="99" t="str">
        <f>Peserta_Didik!C24</f>
        <v>Mochamad Fanny Luthfiana</v>
      </c>
      <c r="E27" s="380" t="s">
        <v>779</v>
      </c>
      <c r="F27" s="380" t="s">
        <v>776</v>
      </c>
      <c r="G27" s="225" t="s">
        <v>743</v>
      </c>
      <c r="H27" s="380" t="s">
        <v>781</v>
      </c>
      <c r="I27" s="380" t="s">
        <v>785</v>
      </c>
      <c r="J27" s="225" t="s">
        <v>743</v>
      </c>
      <c r="K27" s="380" t="s">
        <v>741</v>
      </c>
      <c r="L27" s="380" t="s">
        <v>742</v>
      </c>
      <c r="M27" s="225" t="s">
        <v>743</v>
      </c>
      <c r="N27" s="380" t="s">
        <v>748</v>
      </c>
      <c r="O27" s="380" t="s">
        <v>749</v>
      </c>
      <c r="P27" s="225" t="s">
        <v>743</v>
      </c>
      <c r="Q27" s="380" t="s">
        <v>757</v>
      </c>
      <c r="R27" s="380" t="s">
        <v>760</v>
      </c>
      <c r="S27" s="225" t="s">
        <v>743</v>
      </c>
      <c r="T27" s="380" t="s">
        <v>773</v>
      </c>
      <c r="U27" s="380" t="s">
        <v>774</v>
      </c>
      <c r="V27" s="225" t="s">
        <v>743</v>
      </c>
      <c r="W27" s="380" t="s">
        <v>787</v>
      </c>
      <c r="X27" s="380" t="s">
        <v>788</v>
      </c>
      <c r="Y27" s="225" t="s">
        <v>743</v>
      </c>
      <c r="Z27" s="380" t="s">
        <v>793</v>
      </c>
      <c r="AA27" s="380" t="s">
        <v>794</v>
      </c>
      <c r="AB27" s="225" t="s">
        <v>743</v>
      </c>
      <c r="AC27" s="380" t="s">
        <v>762</v>
      </c>
      <c r="AD27" s="380" t="s">
        <v>763</v>
      </c>
      <c r="AE27" s="225" t="s">
        <v>743</v>
      </c>
      <c r="AF27" s="380" t="s">
        <v>770</v>
      </c>
      <c r="AG27" s="380" t="s">
        <v>767</v>
      </c>
      <c r="AH27" s="225" t="s">
        <v>743</v>
      </c>
      <c r="AI27" s="380" t="s">
        <v>826</v>
      </c>
      <c r="AJ27" s="380" t="s">
        <v>827</v>
      </c>
      <c r="AK27" s="225" t="s">
        <v>743</v>
      </c>
      <c r="AL27" s="225"/>
      <c r="AM27" s="225"/>
      <c r="AN27" s="225"/>
      <c r="AO27" s="225"/>
      <c r="AP27" s="225"/>
      <c r="AQ27" s="225"/>
      <c r="AR27" s="225"/>
      <c r="AS27" s="225"/>
      <c r="AT27" s="225"/>
      <c r="AU27" s="225"/>
      <c r="AV27" s="225"/>
      <c r="AW27" s="225"/>
      <c r="AX27" s="380" t="s">
        <v>796</v>
      </c>
      <c r="AY27" s="380" t="s">
        <v>799</v>
      </c>
      <c r="AZ27" s="225" t="s">
        <v>743</v>
      </c>
      <c r="BA27" s="380" t="s">
        <v>830</v>
      </c>
      <c r="BB27" s="380" t="s">
        <v>831</v>
      </c>
      <c r="BC27" s="225" t="s">
        <v>743</v>
      </c>
      <c r="BD27" s="380" t="s">
        <v>802</v>
      </c>
      <c r="BE27" s="380" t="s">
        <v>803</v>
      </c>
      <c r="BF27" s="225" t="s">
        <v>747</v>
      </c>
      <c r="BG27" s="380" t="s">
        <v>809</v>
      </c>
      <c r="BH27" s="380" t="s">
        <v>807</v>
      </c>
      <c r="BI27" s="225" t="s">
        <v>743</v>
      </c>
      <c r="BJ27" s="380" t="s">
        <v>815</v>
      </c>
      <c r="BK27" s="380" t="s">
        <v>813</v>
      </c>
      <c r="BL27" s="225" t="s">
        <v>743</v>
      </c>
      <c r="BM27" s="380" t="s">
        <v>818</v>
      </c>
      <c r="BN27" s="380" t="s">
        <v>817</v>
      </c>
      <c r="BO27" s="225" t="s">
        <v>747</v>
      </c>
      <c r="BP27" s="225"/>
      <c r="BQ27" s="225"/>
      <c r="BR27" s="225"/>
      <c r="BS27" s="225"/>
      <c r="BT27" s="225"/>
      <c r="BU27" s="225"/>
      <c r="BV27" s="225"/>
      <c r="BW27" s="225"/>
      <c r="BX27" s="225"/>
      <c r="BY27" s="225"/>
      <c r="BZ27" s="225"/>
      <c r="CA27" s="225"/>
      <c r="CB27" s="225"/>
      <c r="CC27" s="225"/>
      <c r="CD27" s="225"/>
      <c r="CE27" s="225"/>
      <c r="CF27" s="225"/>
      <c r="CG27" s="225"/>
      <c r="CH27" s="380" t="s">
        <v>822</v>
      </c>
      <c r="CI27" s="380" t="s">
        <v>821</v>
      </c>
      <c r="CJ27" s="225" t="s">
        <v>743</v>
      </c>
      <c r="CK27" s="225"/>
      <c r="CL27" s="225"/>
      <c r="CM27" s="225"/>
      <c r="CN27" s="225" t="s">
        <v>836</v>
      </c>
      <c r="CO27" s="225"/>
      <c r="CP27" s="225"/>
    </row>
    <row r="28" spans="2:94" s="74" customFormat="1" ht="50.1" customHeight="1" x14ac:dyDescent="0.25">
      <c r="B28" s="98">
        <v>23</v>
      </c>
      <c r="C28" s="75" t="str">
        <f>Peserta_Didik!D25</f>
        <v>1314.10.129</v>
      </c>
      <c r="D28" s="99" t="str">
        <f>Peserta_Didik!C25</f>
        <v>Mochammad Rofiq Sofyan</v>
      </c>
      <c r="E28" s="380" t="s">
        <v>779</v>
      </c>
      <c r="F28" s="380" t="s">
        <v>778</v>
      </c>
      <c r="G28" s="225" t="s">
        <v>743</v>
      </c>
      <c r="H28" s="380" t="s">
        <v>781</v>
      </c>
      <c r="I28" s="380" t="s">
        <v>785</v>
      </c>
      <c r="J28" s="225" t="s">
        <v>743</v>
      </c>
      <c r="K28" s="380" t="s">
        <v>741</v>
      </c>
      <c r="L28" s="380" t="s">
        <v>742</v>
      </c>
      <c r="M28" s="225" t="s">
        <v>743</v>
      </c>
      <c r="N28" s="380" t="s">
        <v>748</v>
      </c>
      <c r="O28" s="380" t="s">
        <v>749</v>
      </c>
      <c r="P28" s="225" t="s">
        <v>743</v>
      </c>
      <c r="Q28" s="380" t="s">
        <v>757</v>
      </c>
      <c r="R28" s="380" t="s">
        <v>758</v>
      </c>
      <c r="S28" s="225" t="s">
        <v>743</v>
      </c>
      <c r="T28" s="380" t="s">
        <v>773</v>
      </c>
      <c r="U28" s="380" t="s">
        <v>774</v>
      </c>
      <c r="V28" s="225" t="s">
        <v>743</v>
      </c>
      <c r="W28" s="380" t="s">
        <v>787</v>
      </c>
      <c r="X28" s="380" t="s">
        <v>788</v>
      </c>
      <c r="Y28" s="225" t="s">
        <v>743</v>
      </c>
      <c r="Z28" s="380" t="s">
        <v>791</v>
      </c>
      <c r="AA28" s="380" t="s">
        <v>792</v>
      </c>
      <c r="AB28" s="225" t="s">
        <v>743</v>
      </c>
      <c r="AC28" s="380" t="s">
        <v>762</v>
      </c>
      <c r="AD28" s="380" t="s">
        <v>763</v>
      </c>
      <c r="AE28" s="225" t="s">
        <v>743</v>
      </c>
      <c r="AF28" s="380" t="s">
        <v>770</v>
      </c>
      <c r="AG28" s="380" t="s">
        <v>767</v>
      </c>
      <c r="AH28" s="225" t="s">
        <v>743</v>
      </c>
      <c r="AI28" s="380" t="s">
        <v>826</v>
      </c>
      <c r="AJ28" s="380" t="s">
        <v>827</v>
      </c>
      <c r="AK28" s="225" t="s">
        <v>743</v>
      </c>
      <c r="AL28" s="225"/>
      <c r="AM28" s="225"/>
      <c r="AN28" s="225"/>
      <c r="AO28" s="225"/>
      <c r="AP28" s="225"/>
      <c r="AQ28" s="225"/>
      <c r="AR28" s="225"/>
      <c r="AS28" s="225"/>
      <c r="AT28" s="225"/>
      <c r="AU28" s="225"/>
      <c r="AV28" s="225"/>
      <c r="AW28" s="225"/>
      <c r="AX28" s="380" t="s">
        <v>796</v>
      </c>
      <c r="AY28" s="380" t="s">
        <v>799</v>
      </c>
      <c r="AZ28" s="225" t="s">
        <v>743</v>
      </c>
      <c r="BA28" s="380" t="s">
        <v>828</v>
      </c>
      <c r="BB28" s="380" t="s">
        <v>831</v>
      </c>
      <c r="BC28" s="225" t="s">
        <v>743</v>
      </c>
      <c r="BD28" s="380" t="s">
        <v>800</v>
      </c>
      <c r="BE28" s="380" t="s">
        <v>801</v>
      </c>
      <c r="BF28" s="225" t="s">
        <v>743</v>
      </c>
      <c r="BG28" s="380" t="s">
        <v>809</v>
      </c>
      <c r="BH28" s="380" t="s">
        <v>807</v>
      </c>
      <c r="BI28" s="225" t="s">
        <v>743</v>
      </c>
      <c r="BJ28" s="380" t="s">
        <v>815</v>
      </c>
      <c r="BK28" s="380" t="s">
        <v>811</v>
      </c>
      <c r="BL28" s="225" t="s">
        <v>743</v>
      </c>
      <c r="BM28" s="380" t="s">
        <v>818</v>
      </c>
      <c r="BN28" s="380" t="s">
        <v>817</v>
      </c>
      <c r="BO28" s="225" t="s">
        <v>743</v>
      </c>
      <c r="BP28" s="225"/>
      <c r="BQ28" s="225"/>
      <c r="BR28" s="225"/>
      <c r="BS28" s="225"/>
      <c r="BT28" s="225"/>
      <c r="BU28" s="225"/>
      <c r="BV28" s="225"/>
      <c r="BW28" s="225"/>
      <c r="BX28" s="225"/>
      <c r="BY28" s="225"/>
      <c r="BZ28" s="225"/>
      <c r="CA28" s="225"/>
      <c r="CB28" s="225"/>
      <c r="CC28" s="225"/>
      <c r="CD28" s="225"/>
      <c r="CE28" s="225"/>
      <c r="CF28" s="225"/>
      <c r="CG28" s="225"/>
      <c r="CH28" s="380" t="s">
        <v>822</v>
      </c>
      <c r="CI28" s="380" t="s">
        <v>821</v>
      </c>
      <c r="CJ28" s="225" t="s">
        <v>743</v>
      </c>
      <c r="CK28" s="225"/>
      <c r="CL28" s="225"/>
      <c r="CM28" s="225"/>
      <c r="CN28" s="225" t="s">
        <v>835</v>
      </c>
      <c r="CO28" s="225"/>
      <c r="CP28" s="225" t="s">
        <v>833</v>
      </c>
    </row>
    <row r="29" spans="2:94" s="74" customFormat="1" ht="50.1" customHeight="1" x14ac:dyDescent="0.25">
      <c r="B29" s="98">
        <v>24</v>
      </c>
      <c r="C29" s="75" t="str">
        <f>Peserta_Didik!D26</f>
        <v>1314.10.130</v>
      </c>
      <c r="D29" s="99" t="str">
        <f>Peserta_Didik!C26</f>
        <v>Muhamad Rifki</v>
      </c>
      <c r="E29" s="380" t="s">
        <v>779</v>
      </c>
      <c r="F29" s="380" t="s">
        <v>778</v>
      </c>
      <c r="G29" s="225" t="s">
        <v>743</v>
      </c>
      <c r="H29" s="380" t="s">
        <v>781</v>
      </c>
      <c r="I29" s="380" t="s">
        <v>785</v>
      </c>
      <c r="J29" s="225" t="s">
        <v>743</v>
      </c>
      <c r="K29" s="380" t="s">
        <v>741</v>
      </c>
      <c r="L29" s="380" t="s">
        <v>742</v>
      </c>
      <c r="M29" s="225" t="s">
        <v>743</v>
      </c>
      <c r="N29" s="380" t="s">
        <v>748</v>
      </c>
      <c r="O29" s="380" t="s">
        <v>752</v>
      </c>
      <c r="P29" s="225" t="s">
        <v>743</v>
      </c>
      <c r="Q29" s="380" t="s">
        <v>757</v>
      </c>
      <c r="R29" s="380" t="s">
        <v>758</v>
      </c>
      <c r="S29" s="225" t="s">
        <v>743</v>
      </c>
      <c r="T29" s="380" t="s">
        <v>773</v>
      </c>
      <c r="U29" s="380" t="s">
        <v>774</v>
      </c>
      <c r="V29" s="225" t="s">
        <v>743</v>
      </c>
      <c r="W29" s="380" t="s">
        <v>787</v>
      </c>
      <c r="X29" s="380" t="s">
        <v>788</v>
      </c>
      <c r="Y29" s="225" t="s">
        <v>743</v>
      </c>
      <c r="Z29" s="380" t="s">
        <v>791</v>
      </c>
      <c r="AA29" s="380" t="s">
        <v>794</v>
      </c>
      <c r="AB29" s="225" t="s">
        <v>743</v>
      </c>
      <c r="AC29" s="380" t="s">
        <v>762</v>
      </c>
      <c r="AD29" s="380" t="s">
        <v>763</v>
      </c>
      <c r="AE29" s="225" t="s">
        <v>743</v>
      </c>
      <c r="AF29" s="380" t="s">
        <v>770</v>
      </c>
      <c r="AG29" s="380" t="s">
        <v>767</v>
      </c>
      <c r="AH29" s="225" t="s">
        <v>743</v>
      </c>
      <c r="AI29" s="380" t="s">
        <v>824</v>
      </c>
      <c r="AJ29" s="380" t="s">
        <v>827</v>
      </c>
      <c r="AK29" s="225" t="s">
        <v>743</v>
      </c>
      <c r="AL29" s="225"/>
      <c r="AM29" s="225"/>
      <c r="AN29" s="225"/>
      <c r="AO29" s="225"/>
      <c r="AP29" s="225"/>
      <c r="AQ29" s="225"/>
      <c r="AR29" s="225"/>
      <c r="AS29" s="225"/>
      <c r="AT29" s="225"/>
      <c r="AU29" s="225"/>
      <c r="AV29" s="225"/>
      <c r="AW29" s="225"/>
      <c r="AX29" s="380" t="s">
        <v>796</v>
      </c>
      <c r="AY29" s="380" t="s">
        <v>799</v>
      </c>
      <c r="AZ29" s="225" t="s">
        <v>743</v>
      </c>
      <c r="BA29" s="380" t="s">
        <v>830</v>
      </c>
      <c r="BB29" s="380" t="s">
        <v>831</v>
      </c>
      <c r="BC29" s="225" t="s">
        <v>743</v>
      </c>
      <c r="BD29" s="380" t="s">
        <v>802</v>
      </c>
      <c r="BE29" s="380" t="s">
        <v>803</v>
      </c>
      <c r="BF29" s="225" t="s">
        <v>743</v>
      </c>
      <c r="BG29" s="380" t="s">
        <v>809</v>
      </c>
      <c r="BH29" s="380" t="s">
        <v>807</v>
      </c>
      <c r="BI29" s="225" t="s">
        <v>743</v>
      </c>
      <c r="BJ29" s="380" t="s">
        <v>815</v>
      </c>
      <c r="BK29" s="380" t="s">
        <v>813</v>
      </c>
      <c r="BL29" s="225" t="s">
        <v>743</v>
      </c>
      <c r="BM29" s="380" t="s">
        <v>818</v>
      </c>
      <c r="BN29" s="380" t="s">
        <v>817</v>
      </c>
      <c r="BO29" s="225" t="s">
        <v>743</v>
      </c>
      <c r="BP29" s="225"/>
      <c r="BQ29" s="225"/>
      <c r="BR29" s="225"/>
      <c r="BS29" s="225"/>
      <c r="BT29" s="225"/>
      <c r="BU29" s="225"/>
      <c r="BV29" s="225"/>
      <c r="BW29" s="225"/>
      <c r="BX29" s="225"/>
      <c r="BY29" s="225"/>
      <c r="BZ29" s="225"/>
      <c r="CA29" s="225"/>
      <c r="CB29" s="225"/>
      <c r="CC29" s="225"/>
      <c r="CD29" s="225"/>
      <c r="CE29" s="225"/>
      <c r="CF29" s="225"/>
      <c r="CG29" s="225"/>
      <c r="CH29" s="380" t="s">
        <v>822</v>
      </c>
      <c r="CI29" s="380" t="s">
        <v>821</v>
      </c>
      <c r="CJ29" s="225" t="s">
        <v>743</v>
      </c>
      <c r="CK29" s="225"/>
      <c r="CL29" s="225"/>
      <c r="CM29" s="225"/>
      <c r="CN29" s="225" t="s">
        <v>836</v>
      </c>
      <c r="CO29" s="225"/>
      <c r="CP29" s="225" t="s">
        <v>833</v>
      </c>
    </row>
    <row r="30" spans="2:94" s="74" customFormat="1" ht="50.1" customHeight="1" x14ac:dyDescent="0.25">
      <c r="B30" s="98">
        <v>25</v>
      </c>
      <c r="C30" s="75" t="str">
        <f>Peserta_Didik!D27</f>
        <v>1314.10.131</v>
      </c>
      <c r="D30" s="99" t="str">
        <f>Peserta_Didik!C27</f>
        <v>Muhammad Azka Ramadhan</v>
      </c>
      <c r="E30" s="380" t="s">
        <v>775</v>
      </c>
      <c r="F30" s="380" t="s">
        <v>776</v>
      </c>
      <c r="G30" s="225" t="s">
        <v>743</v>
      </c>
      <c r="H30" s="380" t="s">
        <v>781</v>
      </c>
      <c r="I30" s="380" t="s">
        <v>785</v>
      </c>
      <c r="J30" s="225" t="s">
        <v>743</v>
      </c>
      <c r="K30" s="380" t="s">
        <v>745</v>
      </c>
      <c r="L30" s="380" t="s">
        <v>742</v>
      </c>
      <c r="M30" s="225" t="s">
        <v>743</v>
      </c>
      <c r="N30" s="380" t="s">
        <v>748</v>
      </c>
      <c r="O30" s="380" t="s">
        <v>749</v>
      </c>
      <c r="P30" s="225" t="s">
        <v>743</v>
      </c>
      <c r="Q30" s="380" t="s">
        <v>757</v>
      </c>
      <c r="R30" s="380" t="s">
        <v>760</v>
      </c>
      <c r="S30" s="225" t="s">
        <v>743</v>
      </c>
      <c r="T30" s="380" t="s">
        <v>773</v>
      </c>
      <c r="U30" s="380" t="s">
        <v>774</v>
      </c>
      <c r="V30" s="225" t="s">
        <v>743</v>
      </c>
      <c r="W30" s="380" t="s">
        <v>787</v>
      </c>
      <c r="X30" s="380" t="s">
        <v>788</v>
      </c>
      <c r="Y30" s="225" t="s">
        <v>743</v>
      </c>
      <c r="Z30" s="380" t="s">
        <v>793</v>
      </c>
      <c r="AA30" s="380" t="s">
        <v>792</v>
      </c>
      <c r="AB30" s="225" t="s">
        <v>743</v>
      </c>
      <c r="AC30" s="380" t="s">
        <v>762</v>
      </c>
      <c r="AD30" s="380" t="s">
        <v>763</v>
      </c>
      <c r="AE30" s="225" t="s">
        <v>743</v>
      </c>
      <c r="AF30" s="380" t="s">
        <v>770</v>
      </c>
      <c r="AG30" s="380" t="s">
        <v>767</v>
      </c>
      <c r="AH30" s="225" t="s">
        <v>743</v>
      </c>
      <c r="AI30" s="380" t="s">
        <v>824</v>
      </c>
      <c r="AJ30" s="380" t="s">
        <v>825</v>
      </c>
      <c r="AK30" s="225" t="s">
        <v>743</v>
      </c>
      <c r="AL30" s="225"/>
      <c r="AM30" s="225"/>
      <c r="AN30" s="225"/>
      <c r="AO30" s="225"/>
      <c r="AP30" s="225"/>
      <c r="AQ30" s="225"/>
      <c r="AR30" s="225"/>
      <c r="AS30" s="225"/>
      <c r="AT30" s="225"/>
      <c r="AU30" s="225"/>
      <c r="AV30" s="225"/>
      <c r="AW30" s="225"/>
      <c r="AX30" s="380" t="s">
        <v>796</v>
      </c>
      <c r="AY30" s="380" t="s">
        <v>799</v>
      </c>
      <c r="AZ30" s="225" t="s">
        <v>743</v>
      </c>
      <c r="BA30" s="380" t="s">
        <v>828</v>
      </c>
      <c r="BB30" s="380" t="s">
        <v>831</v>
      </c>
      <c r="BC30" s="225" t="s">
        <v>743</v>
      </c>
      <c r="BD30" s="380" t="s">
        <v>802</v>
      </c>
      <c r="BE30" s="380" t="s">
        <v>803</v>
      </c>
      <c r="BF30" s="225" t="s">
        <v>743</v>
      </c>
      <c r="BG30" s="380" t="s">
        <v>809</v>
      </c>
      <c r="BH30" s="380" t="s">
        <v>805</v>
      </c>
      <c r="BI30" s="225" t="s">
        <v>743</v>
      </c>
      <c r="BJ30" s="380" t="s">
        <v>810</v>
      </c>
      <c r="BK30" s="380" t="s">
        <v>811</v>
      </c>
      <c r="BL30" s="225" t="s">
        <v>743</v>
      </c>
      <c r="BM30" s="380" t="s">
        <v>818</v>
      </c>
      <c r="BN30" s="380" t="s">
        <v>817</v>
      </c>
      <c r="BO30" s="225" t="s">
        <v>743</v>
      </c>
      <c r="BP30" s="225"/>
      <c r="BQ30" s="225"/>
      <c r="BR30" s="225"/>
      <c r="BS30" s="225"/>
      <c r="BT30" s="225"/>
      <c r="BU30" s="225"/>
      <c r="BV30" s="225"/>
      <c r="BW30" s="225"/>
      <c r="BX30" s="225"/>
      <c r="BY30" s="225"/>
      <c r="BZ30" s="225"/>
      <c r="CA30" s="225"/>
      <c r="CB30" s="225"/>
      <c r="CC30" s="225"/>
      <c r="CD30" s="225"/>
      <c r="CE30" s="225"/>
      <c r="CF30" s="225"/>
      <c r="CG30" s="225"/>
      <c r="CH30" s="380" t="s">
        <v>822</v>
      </c>
      <c r="CI30" s="380" t="s">
        <v>823</v>
      </c>
      <c r="CJ30" s="225" t="s">
        <v>743</v>
      </c>
      <c r="CK30" s="225"/>
      <c r="CL30" s="225"/>
      <c r="CM30" s="225"/>
      <c r="CN30" s="225" t="s">
        <v>835</v>
      </c>
      <c r="CO30" s="225"/>
      <c r="CP30" s="225"/>
    </row>
    <row r="31" spans="2:94" s="74" customFormat="1" ht="50.1" customHeight="1" x14ac:dyDescent="0.25">
      <c r="B31" s="98">
        <v>26</v>
      </c>
      <c r="C31" s="75" t="str">
        <f>Peserta_Didik!D28</f>
        <v>1314.10.132</v>
      </c>
      <c r="D31" s="99" t="str">
        <f>Peserta_Didik!C28</f>
        <v>Muhammad Rizky Adrian</v>
      </c>
      <c r="E31" s="380" t="s">
        <v>775</v>
      </c>
      <c r="F31" s="380" t="s">
        <v>776</v>
      </c>
      <c r="G31" s="225" t="s">
        <v>743</v>
      </c>
      <c r="H31" s="380" t="s">
        <v>781</v>
      </c>
      <c r="I31" s="380" t="s">
        <v>785</v>
      </c>
      <c r="J31" s="225" t="s">
        <v>743</v>
      </c>
      <c r="K31" s="380" t="s">
        <v>741</v>
      </c>
      <c r="L31" s="380" t="s">
        <v>742</v>
      </c>
      <c r="M31" s="225" t="s">
        <v>743</v>
      </c>
      <c r="N31" s="380" t="s">
        <v>753</v>
      </c>
      <c r="O31" s="380" t="s">
        <v>752</v>
      </c>
      <c r="P31" s="225" t="s">
        <v>743</v>
      </c>
      <c r="Q31" s="380" t="s">
        <v>757</v>
      </c>
      <c r="R31" s="380" t="s">
        <v>760</v>
      </c>
      <c r="S31" s="225" t="s">
        <v>743</v>
      </c>
      <c r="T31" s="380" t="s">
        <v>773</v>
      </c>
      <c r="U31" s="380" t="s">
        <v>774</v>
      </c>
      <c r="V31" s="225" t="s">
        <v>743</v>
      </c>
      <c r="W31" s="380" t="s">
        <v>787</v>
      </c>
      <c r="X31" s="380" t="s">
        <v>788</v>
      </c>
      <c r="Y31" s="225" t="s">
        <v>743</v>
      </c>
      <c r="Z31" s="380" t="s">
        <v>793</v>
      </c>
      <c r="AA31" s="380" t="s">
        <v>794</v>
      </c>
      <c r="AB31" s="225" t="s">
        <v>743</v>
      </c>
      <c r="AC31" s="380" t="s">
        <v>762</v>
      </c>
      <c r="AD31" s="380" t="s">
        <v>763</v>
      </c>
      <c r="AE31" s="225" t="s">
        <v>743</v>
      </c>
      <c r="AF31" s="380" t="s">
        <v>770</v>
      </c>
      <c r="AG31" s="380" t="s">
        <v>767</v>
      </c>
      <c r="AH31" s="225" t="s">
        <v>743</v>
      </c>
      <c r="AI31" s="380" t="s">
        <v>824</v>
      </c>
      <c r="AJ31" s="380" t="s">
        <v>825</v>
      </c>
      <c r="AK31" s="225" t="s">
        <v>743</v>
      </c>
      <c r="AL31" s="225"/>
      <c r="AM31" s="225"/>
      <c r="AN31" s="225"/>
      <c r="AO31" s="225"/>
      <c r="AP31" s="225"/>
      <c r="AQ31" s="225"/>
      <c r="AR31" s="225"/>
      <c r="AS31" s="225"/>
      <c r="AT31" s="225"/>
      <c r="AU31" s="225"/>
      <c r="AV31" s="225"/>
      <c r="AW31" s="225"/>
      <c r="AX31" s="380" t="s">
        <v>796</v>
      </c>
      <c r="AY31" s="380" t="s">
        <v>799</v>
      </c>
      <c r="AZ31" s="225" t="s">
        <v>743</v>
      </c>
      <c r="BA31" s="380" t="s">
        <v>828</v>
      </c>
      <c r="BB31" s="380" t="s">
        <v>829</v>
      </c>
      <c r="BC31" s="225" t="s">
        <v>743</v>
      </c>
      <c r="BD31" s="380" t="s">
        <v>800</v>
      </c>
      <c r="BE31" s="380" t="s">
        <v>803</v>
      </c>
      <c r="BF31" s="225" t="s">
        <v>743</v>
      </c>
      <c r="BG31" s="380" t="s">
        <v>809</v>
      </c>
      <c r="BH31" s="380" t="s">
        <v>807</v>
      </c>
      <c r="BI31" s="225" t="s">
        <v>743</v>
      </c>
      <c r="BJ31" s="380" t="s">
        <v>810</v>
      </c>
      <c r="BK31" s="380" t="s">
        <v>811</v>
      </c>
      <c r="BL31" s="225" t="s">
        <v>743</v>
      </c>
      <c r="BM31" s="380" t="s">
        <v>818</v>
      </c>
      <c r="BN31" s="380" t="s">
        <v>817</v>
      </c>
      <c r="BO31" s="225" t="s">
        <v>743</v>
      </c>
      <c r="BP31" s="225"/>
      <c r="BQ31" s="225"/>
      <c r="BR31" s="225"/>
      <c r="BS31" s="225"/>
      <c r="BT31" s="225"/>
      <c r="BU31" s="225"/>
      <c r="BV31" s="225"/>
      <c r="BW31" s="225"/>
      <c r="BX31" s="225"/>
      <c r="BY31" s="225"/>
      <c r="BZ31" s="225"/>
      <c r="CA31" s="225"/>
      <c r="CB31" s="225"/>
      <c r="CC31" s="225"/>
      <c r="CD31" s="225"/>
      <c r="CE31" s="225"/>
      <c r="CF31" s="225"/>
      <c r="CG31" s="225"/>
      <c r="CH31" s="380" t="s">
        <v>820</v>
      </c>
      <c r="CI31" s="380" t="s">
        <v>823</v>
      </c>
      <c r="CJ31" s="225" t="s">
        <v>743</v>
      </c>
      <c r="CK31" s="225"/>
      <c r="CL31" s="225"/>
      <c r="CM31" s="225"/>
      <c r="CN31" s="225" t="s">
        <v>836</v>
      </c>
      <c r="CO31" s="225"/>
      <c r="CP31" s="225"/>
    </row>
    <row r="32" spans="2:94" s="74" customFormat="1" ht="50.1" customHeight="1" x14ac:dyDescent="0.25">
      <c r="B32" s="98">
        <v>27</v>
      </c>
      <c r="C32" s="75" t="str">
        <f>Peserta_Didik!D29</f>
        <v>1314.10.133</v>
      </c>
      <c r="D32" s="99" t="str">
        <f>Peserta_Didik!C29</f>
        <v>Muhammad Sakhin Aliyyin</v>
      </c>
      <c r="E32" s="380" t="s">
        <v>775</v>
      </c>
      <c r="F32" s="380" t="s">
        <v>776</v>
      </c>
      <c r="G32" s="225" t="s">
        <v>743</v>
      </c>
      <c r="H32" s="380" t="s">
        <v>781</v>
      </c>
      <c r="I32" s="380" t="s">
        <v>782</v>
      </c>
      <c r="J32" s="225" t="s">
        <v>743</v>
      </c>
      <c r="K32" s="380" t="s">
        <v>744</v>
      </c>
      <c r="L32" s="380" t="s">
        <v>742</v>
      </c>
      <c r="M32" s="225" t="s">
        <v>743</v>
      </c>
      <c r="N32" s="380" t="s">
        <v>748</v>
      </c>
      <c r="O32" s="380" t="s">
        <v>749</v>
      </c>
      <c r="P32" s="225" t="s">
        <v>743</v>
      </c>
      <c r="Q32" s="380" t="s">
        <v>761</v>
      </c>
      <c r="R32" s="380" t="s">
        <v>760</v>
      </c>
      <c r="S32" s="225" t="s">
        <v>743</v>
      </c>
      <c r="T32" s="380" t="s">
        <v>773</v>
      </c>
      <c r="U32" s="380" t="s">
        <v>774</v>
      </c>
      <c r="V32" s="225" t="s">
        <v>743</v>
      </c>
      <c r="W32" s="380" t="s">
        <v>787</v>
      </c>
      <c r="X32" s="380" t="s">
        <v>788</v>
      </c>
      <c r="Y32" s="225" t="s">
        <v>743</v>
      </c>
      <c r="Z32" s="380">
        <v>0</v>
      </c>
      <c r="AA32" s="380">
        <v>0</v>
      </c>
      <c r="AB32" s="225" t="s">
        <v>743</v>
      </c>
      <c r="AC32" s="380" t="s">
        <v>762</v>
      </c>
      <c r="AD32" s="380" t="s">
        <v>763</v>
      </c>
      <c r="AE32" s="225" t="s">
        <v>743</v>
      </c>
      <c r="AF32" s="380" t="s">
        <v>770</v>
      </c>
      <c r="AG32" s="380" t="s">
        <v>767</v>
      </c>
      <c r="AH32" s="225" t="s">
        <v>743</v>
      </c>
      <c r="AI32" s="380" t="s">
        <v>824</v>
      </c>
      <c r="AJ32" s="380" t="s">
        <v>827</v>
      </c>
      <c r="AK32" s="225" t="s">
        <v>743</v>
      </c>
      <c r="AL32" s="225"/>
      <c r="AM32" s="225"/>
      <c r="AN32" s="225"/>
      <c r="AO32" s="225"/>
      <c r="AP32" s="225"/>
      <c r="AQ32" s="225"/>
      <c r="AR32" s="225"/>
      <c r="AS32" s="225"/>
      <c r="AT32" s="225"/>
      <c r="AU32" s="225"/>
      <c r="AV32" s="225"/>
      <c r="AW32" s="225"/>
      <c r="AX32" s="380" t="s">
        <v>796</v>
      </c>
      <c r="AY32" s="380" t="s">
        <v>799</v>
      </c>
      <c r="AZ32" s="225" t="s">
        <v>743</v>
      </c>
      <c r="BA32" s="380" t="s">
        <v>828</v>
      </c>
      <c r="BB32" s="380" t="s">
        <v>829</v>
      </c>
      <c r="BC32" s="225" t="s">
        <v>743</v>
      </c>
      <c r="BD32" s="380" t="s">
        <v>802</v>
      </c>
      <c r="BE32" s="380" t="s">
        <v>803</v>
      </c>
      <c r="BF32" s="225" t="s">
        <v>743</v>
      </c>
      <c r="BG32" s="380" t="s">
        <v>809</v>
      </c>
      <c r="BH32" s="380" t="s">
        <v>807</v>
      </c>
      <c r="BI32" s="225" t="s">
        <v>743</v>
      </c>
      <c r="BJ32" s="380" t="s">
        <v>810</v>
      </c>
      <c r="BK32" s="380" t="s">
        <v>811</v>
      </c>
      <c r="BL32" s="225" t="s">
        <v>743</v>
      </c>
      <c r="BM32" s="380" t="s">
        <v>818</v>
      </c>
      <c r="BN32" s="380" t="s">
        <v>817</v>
      </c>
      <c r="BO32" s="225" t="s">
        <v>743</v>
      </c>
      <c r="BP32" s="225"/>
      <c r="BQ32" s="225"/>
      <c r="BR32" s="225"/>
      <c r="BS32" s="225"/>
      <c r="BT32" s="225"/>
      <c r="BU32" s="225"/>
      <c r="BV32" s="225"/>
      <c r="BW32" s="225"/>
      <c r="BX32" s="225"/>
      <c r="BY32" s="225"/>
      <c r="BZ32" s="225"/>
      <c r="CA32" s="225"/>
      <c r="CB32" s="225"/>
      <c r="CC32" s="225"/>
      <c r="CD32" s="225"/>
      <c r="CE32" s="225"/>
      <c r="CF32" s="225"/>
      <c r="CG32" s="225"/>
      <c r="CH32" s="380" t="s">
        <v>820</v>
      </c>
      <c r="CI32" s="380" t="s">
        <v>821</v>
      </c>
      <c r="CJ32" s="225" t="s">
        <v>743</v>
      </c>
      <c r="CK32" s="225"/>
      <c r="CL32" s="225"/>
      <c r="CM32" s="225"/>
      <c r="CN32" s="225" t="s">
        <v>836</v>
      </c>
      <c r="CO32" s="225"/>
      <c r="CP32" s="225" t="s">
        <v>833</v>
      </c>
    </row>
    <row r="33" spans="2:94" s="74" customFormat="1" ht="50.1" customHeight="1" x14ac:dyDescent="0.25">
      <c r="B33" s="98">
        <v>28</v>
      </c>
      <c r="C33" s="75" t="str">
        <f>Peserta_Didik!D30</f>
        <v>1314.10.134</v>
      </c>
      <c r="D33" s="99" t="str">
        <f>Peserta_Didik!C30</f>
        <v>Rafly Ramadhan</v>
      </c>
      <c r="E33" s="380" t="s">
        <v>779</v>
      </c>
      <c r="F33" s="380" t="s">
        <v>776</v>
      </c>
      <c r="G33" s="225" t="s">
        <v>743</v>
      </c>
      <c r="H33" s="380" t="s">
        <v>781</v>
      </c>
      <c r="I33" s="380" t="s">
        <v>785</v>
      </c>
      <c r="J33" s="225" t="s">
        <v>743</v>
      </c>
      <c r="K33" s="380" t="s">
        <v>741</v>
      </c>
      <c r="L33" s="380" t="s">
        <v>742</v>
      </c>
      <c r="M33" s="225" t="s">
        <v>743</v>
      </c>
      <c r="N33" s="380" t="s">
        <v>753</v>
      </c>
      <c r="O33" s="380" t="s">
        <v>752</v>
      </c>
      <c r="P33" s="225" t="s">
        <v>747</v>
      </c>
      <c r="Q33" s="380" t="s">
        <v>757</v>
      </c>
      <c r="R33" s="380" t="s">
        <v>760</v>
      </c>
      <c r="S33" s="225" t="s">
        <v>743</v>
      </c>
      <c r="T33" s="380" t="s">
        <v>773</v>
      </c>
      <c r="U33" s="380" t="s">
        <v>774</v>
      </c>
      <c r="V33" s="225" t="s">
        <v>743</v>
      </c>
      <c r="W33" s="380" t="s">
        <v>787</v>
      </c>
      <c r="X33" s="380" t="s">
        <v>788</v>
      </c>
      <c r="Y33" s="225" t="s">
        <v>743</v>
      </c>
      <c r="Z33" s="380">
        <v>0</v>
      </c>
      <c r="AA33" s="380">
        <v>0</v>
      </c>
      <c r="AB33" s="225" t="s">
        <v>743</v>
      </c>
      <c r="AC33" s="380" t="s">
        <v>762</v>
      </c>
      <c r="AD33" s="380" t="s">
        <v>763</v>
      </c>
      <c r="AE33" s="225" t="s">
        <v>743</v>
      </c>
      <c r="AF33" s="380" t="s">
        <v>770</v>
      </c>
      <c r="AG33" s="380" t="s">
        <v>767</v>
      </c>
      <c r="AH33" s="225" t="s">
        <v>743</v>
      </c>
      <c r="AI33" s="380" t="s">
        <v>824</v>
      </c>
      <c r="AJ33" s="380" t="s">
        <v>827</v>
      </c>
      <c r="AK33" s="225" t="s">
        <v>743</v>
      </c>
      <c r="AL33" s="225"/>
      <c r="AM33" s="225"/>
      <c r="AN33" s="225"/>
      <c r="AO33" s="225"/>
      <c r="AP33" s="225"/>
      <c r="AQ33" s="225"/>
      <c r="AR33" s="225"/>
      <c r="AS33" s="225"/>
      <c r="AT33" s="225"/>
      <c r="AU33" s="225"/>
      <c r="AV33" s="225"/>
      <c r="AW33" s="225"/>
      <c r="AX33" s="380" t="s">
        <v>796</v>
      </c>
      <c r="AY33" s="380" t="s">
        <v>799</v>
      </c>
      <c r="AZ33" s="225" t="s">
        <v>743</v>
      </c>
      <c r="BA33" s="380" t="s">
        <v>828</v>
      </c>
      <c r="BB33" s="380" t="s">
        <v>831</v>
      </c>
      <c r="BC33" s="225" t="s">
        <v>743</v>
      </c>
      <c r="BD33" s="380" t="s">
        <v>802</v>
      </c>
      <c r="BE33" s="380" t="s">
        <v>803</v>
      </c>
      <c r="BF33" s="225" t="s">
        <v>743</v>
      </c>
      <c r="BG33" s="380" t="s">
        <v>809</v>
      </c>
      <c r="BH33" s="380" t="s">
        <v>807</v>
      </c>
      <c r="BI33" s="225" t="s">
        <v>743</v>
      </c>
      <c r="BJ33" s="380" t="s">
        <v>815</v>
      </c>
      <c r="BK33" s="380" t="s">
        <v>813</v>
      </c>
      <c r="BL33" s="225" t="s">
        <v>743</v>
      </c>
      <c r="BM33" s="380" t="s">
        <v>818</v>
      </c>
      <c r="BN33" s="380" t="s">
        <v>817</v>
      </c>
      <c r="BO33" s="225" t="s">
        <v>743</v>
      </c>
      <c r="BP33" s="225"/>
      <c r="BQ33" s="225"/>
      <c r="BR33" s="225"/>
      <c r="BS33" s="225"/>
      <c r="BT33" s="225"/>
      <c r="BU33" s="225"/>
      <c r="BV33" s="225"/>
      <c r="BW33" s="225"/>
      <c r="BX33" s="225"/>
      <c r="BY33" s="225"/>
      <c r="BZ33" s="225"/>
      <c r="CA33" s="225"/>
      <c r="CB33" s="225"/>
      <c r="CC33" s="225"/>
      <c r="CD33" s="225"/>
      <c r="CE33" s="225"/>
      <c r="CF33" s="225"/>
      <c r="CG33" s="225"/>
      <c r="CH33" s="380" t="s">
        <v>820</v>
      </c>
      <c r="CI33" s="380" t="s">
        <v>821</v>
      </c>
      <c r="CJ33" s="225" t="s">
        <v>743</v>
      </c>
      <c r="CK33" s="225"/>
      <c r="CL33" s="225"/>
      <c r="CM33" s="225"/>
      <c r="CN33" s="225" t="s">
        <v>836</v>
      </c>
      <c r="CO33" s="225"/>
      <c r="CP33" s="225" t="s">
        <v>833</v>
      </c>
    </row>
    <row r="34" spans="2:94" s="74" customFormat="1" ht="50.1" customHeight="1" x14ac:dyDescent="0.25">
      <c r="B34" s="98">
        <v>29</v>
      </c>
      <c r="C34" s="75" t="str">
        <f>Peserta_Didik!D31</f>
        <v>1314.10.135</v>
      </c>
      <c r="D34" s="99" t="str">
        <f>Peserta_Didik!C31</f>
        <v>Raka Bagus Hartanto</v>
      </c>
      <c r="E34" s="380" t="s">
        <v>779</v>
      </c>
      <c r="F34" s="380" t="s">
        <v>776</v>
      </c>
      <c r="G34" s="225" t="s">
        <v>743</v>
      </c>
      <c r="H34" s="380" t="s">
        <v>781</v>
      </c>
      <c r="I34" s="380" t="s">
        <v>785</v>
      </c>
      <c r="J34" s="225" t="s">
        <v>743</v>
      </c>
      <c r="K34" s="380" t="s">
        <v>745</v>
      </c>
      <c r="L34" s="380" t="s">
        <v>742</v>
      </c>
      <c r="M34" s="225" t="s">
        <v>743</v>
      </c>
      <c r="N34" s="380" t="s">
        <v>748</v>
      </c>
      <c r="O34" s="380" t="s">
        <v>752</v>
      </c>
      <c r="P34" s="225" t="s">
        <v>743</v>
      </c>
      <c r="Q34" s="380" t="s">
        <v>757</v>
      </c>
      <c r="R34" s="380" t="s">
        <v>760</v>
      </c>
      <c r="S34" s="225" t="s">
        <v>743</v>
      </c>
      <c r="T34" s="380" t="s">
        <v>773</v>
      </c>
      <c r="U34" s="380" t="s">
        <v>774</v>
      </c>
      <c r="V34" s="225" t="s">
        <v>743</v>
      </c>
      <c r="W34" s="380" t="s">
        <v>787</v>
      </c>
      <c r="X34" s="380" t="s">
        <v>788</v>
      </c>
      <c r="Y34" s="225" t="s">
        <v>743</v>
      </c>
      <c r="Z34" s="380">
        <v>0</v>
      </c>
      <c r="AA34" s="380">
        <v>0</v>
      </c>
      <c r="AB34" s="225" t="s">
        <v>743</v>
      </c>
      <c r="AC34" s="380" t="s">
        <v>762</v>
      </c>
      <c r="AD34" s="380" t="s">
        <v>763</v>
      </c>
      <c r="AE34" s="225" t="s">
        <v>743</v>
      </c>
      <c r="AF34" s="380" t="s">
        <v>766</v>
      </c>
      <c r="AG34" s="380" t="s">
        <v>767</v>
      </c>
      <c r="AH34" s="225" t="s">
        <v>743</v>
      </c>
      <c r="AI34" s="380" t="s">
        <v>824</v>
      </c>
      <c r="AJ34" s="380" t="s">
        <v>825</v>
      </c>
      <c r="AK34" s="225" t="s">
        <v>743</v>
      </c>
      <c r="AL34" s="225"/>
      <c r="AM34" s="225"/>
      <c r="AN34" s="225"/>
      <c r="AO34" s="225"/>
      <c r="AP34" s="225"/>
      <c r="AQ34" s="225"/>
      <c r="AR34" s="225"/>
      <c r="AS34" s="225"/>
      <c r="AT34" s="225"/>
      <c r="AU34" s="225"/>
      <c r="AV34" s="225"/>
      <c r="AW34" s="225"/>
      <c r="AX34" s="380" t="s">
        <v>796</v>
      </c>
      <c r="AY34" s="380" t="s">
        <v>799</v>
      </c>
      <c r="AZ34" s="225" t="s">
        <v>743</v>
      </c>
      <c r="BA34" s="380" t="s">
        <v>828</v>
      </c>
      <c r="BB34" s="380" t="s">
        <v>829</v>
      </c>
      <c r="BC34" s="225" t="s">
        <v>743</v>
      </c>
      <c r="BD34" s="380" t="s">
        <v>802</v>
      </c>
      <c r="BE34" s="380" t="s">
        <v>803</v>
      </c>
      <c r="BF34" s="225" t="s">
        <v>743</v>
      </c>
      <c r="BG34" s="380" t="s">
        <v>809</v>
      </c>
      <c r="BH34" s="380" t="s">
        <v>807</v>
      </c>
      <c r="BI34" s="225" t="s">
        <v>743</v>
      </c>
      <c r="BJ34" s="380" t="s">
        <v>815</v>
      </c>
      <c r="BK34" s="380" t="s">
        <v>811</v>
      </c>
      <c r="BL34" s="225" t="s">
        <v>743</v>
      </c>
      <c r="BM34" s="380" t="s">
        <v>818</v>
      </c>
      <c r="BN34" s="380" t="s">
        <v>817</v>
      </c>
      <c r="BO34" s="225" t="s">
        <v>743</v>
      </c>
      <c r="BP34" s="225"/>
      <c r="BQ34" s="225"/>
      <c r="BR34" s="225"/>
      <c r="BS34" s="225"/>
      <c r="BT34" s="225"/>
      <c r="BU34" s="225"/>
      <c r="BV34" s="225"/>
      <c r="BW34" s="225"/>
      <c r="BX34" s="225"/>
      <c r="BY34" s="225"/>
      <c r="BZ34" s="225"/>
      <c r="CA34" s="225"/>
      <c r="CB34" s="225"/>
      <c r="CC34" s="225"/>
      <c r="CD34" s="225"/>
      <c r="CE34" s="225"/>
      <c r="CF34" s="225"/>
      <c r="CG34" s="225"/>
      <c r="CH34" s="380" t="s">
        <v>820</v>
      </c>
      <c r="CI34" s="380" t="s">
        <v>821</v>
      </c>
      <c r="CJ34" s="225" t="s">
        <v>743</v>
      </c>
      <c r="CK34" s="225"/>
      <c r="CL34" s="225"/>
      <c r="CM34" s="225"/>
      <c r="CN34" s="225" t="s">
        <v>835</v>
      </c>
      <c r="CO34" s="225"/>
      <c r="CP34" s="225"/>
    </row>
    <row r="35" spans="2:94" s="74" customFormat="1" ht="50.1" customHeight="1" x14ac:dyDescent="0.25">
      <c r="B35" s="98">
        <v>30</v>
      </c>
      <c r="C35" s="75" t="str">
        <f>Peserta_Didik!D32</f>
        <v>1314.10.136</v>
      </c>
      <c r="D35" s="99" t="str">
        <f>Peserta_Didik!C32</f>
        <v>Ramdan Rohadiat</v>
      </c>
      <c r="E35" s="380" t="s">
        <v>779</v>
      </c>
      <c r="F35" s="380" t="s">
        <v>778</v>
      </c>
      <c r="G35" s="225" t="s">
        <v>743</v>
      </c>
      <c r="H35" s="380" t="s">
        <v>786</v>
      </c>
      <c r="I35" s="380" t="s">
        <v>785</v>
      </c>
      <c r="J35" s="225" t="s">
        <v>747</v>
      </c>
      <c r="K35" s="380" t="s">
        <v>744</v>
      </c>
      <c r="L35" s="380" t="s">
        <v>742</v>
      </c>
      <c r="M35" s="225" t="s">
        <v>743</v>
      </c>
      <c r="N35" s="380" t="s">
        <v>753</v>
      </c>
      <c r="O35" s="380" t="s">
        <v>755</v>
      </c>
      <c r="P35" s="225" t="s">
        <v>747</v>
      </c>
      <c r="Q35" s="380" t="s">
        <v>757</v>
      </c>
      <c r="R35" s="380" t="s">
        <v>759</v>
      </c>
      <c r="S35" s="225" t="s">
        <v>743</v>
      </c>
      <c r="T35" s="380" t="s">
        <v>773</v>
      </c>
      <c r="U35" s="380" t="s">
        <v>774</v>
      </c>
      <c r="V35" s="225" t="s">
        <v>743</v>
      </c>
      <c r="W35" s="380" t="s">
        <v>787</v>
      </c>
      <c r="X35" s="380" t="s">
        <v>788</v>
      </c>
      <c r="Y35" s="225" t="s">
        <v>743</v>
      </c>
      <c r="Z35" s="380">
        <v>0</v>
      </c>
      <c r="AA35" s="380">
        <v>0</v>
      </c>
      <c r="AB35" s="225" t="s">
        <v>743</v>
      </c>
      <c r="AC35" s="380" t="s">
        <v>762</v>
      </c>
      <c r="AD35" s="380" t="s">
        <v>763</v>
      </c>
      <c r="AE35" s="225" t="s">
        <v>743</v>
      </c>
      <c r="AF35" s="380" t="s">
        <v>771</v>
      </c>
      <c r="AG35" s="380" t="s">
        <v>772</v>
      </c>
      <c r="AH35" s="225" t="s">
        <v>747</v>
      </c>
      <c r="AI35" s="380" t="s">
        <v>826</v>
      </c>
      <c r="AJ35" s="380" t="s">
        <v>827</v>
      </c>
      <c r="AK35" s="225" t="s">
        <v>743</v>
      </c>
      <c r="AL35" s="225"/>
      <c r="AM35" s="225"/>
      <c r="AN35" s="225"/>
      <c r="AO35" s="225"/>
      <c r="AP35" s="225"/>
      <c r="AQ35" s="225"/>
      <c r="AR35" s="225"/>
      <c r="AS35" s="225"/>
      <c r="AT35" s="225"/>
      <c r="AU35" s="225"/>
      <c r="AV35" s="225"/>
      <c r="AW35" s="225"/>
      <c r="AX35" s="380" t="s">
        <v>798</v>
      </c>
      <c r="AY35" s="380" t="s">
        <v>799</v>
      </c>
      <c r="AZ35" s="225" t="s">
        <v>747</v>
      </c>
      <c r="BA35" s="380" t="s">
        <v>828</v>
      </c>
      <c r="BB35" s="380" t="s">
        <v>831</v>
      </c>
      <c r="BC35" s="225" t="s">
        <v>743</v>
      </c>
      <c r="BD35" s="380" t="s">
        <v>802</v>
      </c>
      <c r="BE35" s="380" t="s">
        <v>803</v>
      </c>
      <c r="BF35" s="225" t="s">
        <v>743</v>
      </c>
      <c r="BG35" s="380" t="s">
        <v>809</v>
      </c>
      <c r="BH35" s="380" t="s">
        <v>807</v>
      </c>
      <c r="BI35" s="225" t="s">
        <v>743</v>
      </c>
      <c r="BJ35" s="380" t="s">
        <v>815</v>
      </c>
      <c r="BK35" s="380" t="s">
        <v>813</v>
      </c>
      <c r="BL35" s="225" t="s">
        <v>743</v>
      </c>
      <c r="BM35" s="380" t="s">
        <v>818</v>
      </c>
      <c r="BN35" s="380" t="s">
        <v>817</v>
      </c>
      <c r="BO35" s="225" t="s">
        <v>743</v>
      </c>
      <c r="BP35" s="225"/>
      <c r="BQ35" s="225"/>
      <c r="BR35" s="225"/>
      <c r="BS35" s="225"/>
      <c r="BT35" s="225"/>
      <c r="BU35" s="225"/>
      <c r="BV35" s="225"/>
      <c r="BW35" s="225"/>
      <c r="BX35" s="225"/>
      <c r="BY35" s="225"/>
      <c r="BZ35" s="225"/>
      <c r="CA35" s="225"/>
      <c r="CB35" s="225"/>
      <c r="CC35" s="225"/>
      <c r="CD35" s="225"/>
      <c r="CE35" s="225"/>
      <c r="CF35" s="225"/>
      <c r="CG35" s="225"/>
      <c r="CH35" s="380" t="s">
        <v>820</v>
      </c>
      <c r="CI35" s="380" t="s">
        <v>823</v>
      </c>
      <c r="CJ35" s="225" t="s">
        <v>743</v>
      </c>
      <c r="CK35" s="225"/>
      <c r="CL35" s="225"/>
      <c r="CM35" s="225"/>
      <c r="CN35" s="225" t="s">
        <v>836</v>
      </c>
      <c r="CO35" s="225"/>
      <c r="CP35" s="225" t="s">
        <v>833</v>
      </c>
    </row>
    <row r="36" spans="2:94" s="74" customFormat="1" ht="50.1" customHeight="1" x14ac:dyDescent="0.25">
      <c r="B36" s="98">
        <v>31</v>
      </c>
      <c r="C36" s="75" t="str">
        <f>Peserta_Didik!D33</f>
        <v>1314.10.137</v>
      </c>
      <c r="D36" s="99" t="str">
        <f>Peserta_Didik!C33</f>
        <v>Reza Lesmana Budiman</v>
      </c>
      <c r="E36" s="380" t="s">
        <v>779</v>
      </c>
      <c r="F36" s="380" t="s">
        <v>776</v>
      </c>
      <c r="G36" s="225" t="s">
        <v>743</v>
      </c>
      <c r="H36" s="380" t="s">
        <v>786</v>
      </c>
      <c r="I36" s="380" t="s">
        <v>785</v>
      </c>
      <c r="J36" s="225" t="s">
        <v>743</v>
      </c>
      <c r="K36" s="380" t="s">
        <v>741</v>
      </c>
      <c r="L36" s="380" t="s">
        <v>742</v>
      </c>
      <c r="M36" s="225" t="s">
        <v>743</v>
      </c>
      <c r="N36" s="380" t="s">
        <v>748</v>
      </c>
      <c r="O36" s="380" t="s">
        <v>749</v>
      </c>
      <c r="P36" s="225" t="s">
        <v>743</v>
      </c>
      <c r="Q36" s="380" t="s">
        <v>761</v>
      </c>
      <c r="R36" s="380" t="s">
        <v>760</v>
      </c>
      <c r="S36" s="225" t="s">
        <v>743</v>
      </c>
      <c r="T36" s="380" t="s">
        <v>773</v>
      </c>
      <c r="U36" s="380" t="s">
        <v>774</v>
      </c>
      <c r="V36" s="225" t="s">
        <v>743</v>
      </c>
      <c r="W36" s="380" t="s">
        <v>787</v>
      </c>
      <c r="X36" s="380" t="s">
        <v>788</v>
      </c>
      <c r="Y36" s="225" t="s">
        <v>743</v>
      </c>
      <c r="Z36" s="380">
        <v>0</v>
      </c>
      <c r="AA36" s="380">
        <v>0</v>
      </c>
      <c r="AB36" s="225" t="s">
        <v>743</v>
      </c>
      <c r="AC36" s="380" t="s">
        <v>762</v>
      </c>
      <c r="AD36" s="380" t="s">
        <v>763</v>
      </c>
      <c r="AE36" s="225" t="s">
        <v>743</v>
      </c>
      <c r="AF36" s="380" t="s">
        <v>770</v>
      </c>
      <c r="AG36" s="380" t="s">
        <v>767</v>
      </c>
      <c r="AH36" s="225" t="s">
        <v>743</v>
      </c>
      <c r="AI36" s="380" t="s">
        <v>824</v>
      </c>
      <c r="AJ36" s="380" t="s">
        <v>827</v>
      </c>
      <c r="AK36" s="225" t="s">
        <v>743</v>
      </c>
      <c r="AL36" s="225"/>
      <c r="AM36" s="225"/>
      <c r="AN36" s="225"/>
      <c r="AO36" s="225"/>
      <c r="AP36" s="225"/>
      <c r="AQ36" s="225"/>
      <c r="AR36" s="225"/>
      <c r="AS36" s="225"/>
      <c r="AT36" s="225"/>
      <c r="AU36" s="225"/>
      <c r="AV36" s="225"/>
      <c r="AW36" s="225"/>
      <c r="AX36" s="380" t="s">
        <v>798</v>
      </c>
      <c r="AY36" s="380" t="s">
        <v>799</v>
      </c>
      <c r="AZ36" s="225" t="s">
        <v>743</v>
      </c>
      <c r="BA36" s="380" t="s">
        <v>828</v>
      </c>
      <c r="BB36" s="380" t="s">
        <v>831</v>
      </c>
      <c r="BC36" s="225" t="s">
        <v>743</v>
      </c>
      <c r="BD36" s="380" t="s">
        <v>800</v>
      </c>
      <c r="BE36" s="380" t="s">
        <v>803</v>
      </c>
      <c r="BF36" s="225" t="s">
        <v>743</v>
      </c>
      <c r="BG36" s="380" t="s">
        <v>809</v>
      </c>
      <c r="BH36" s="380" t="s">
        <v>807</v>
      </c>
      <c r="BI36" s="225" t="s">
        <v>743</v>
      </c>
      <c r="BJ36" s="380" t="s">
        <v>815</v>
      </c>
      <c r="BK36" s="380" t="s">
        <v>811</v>
      </c>
      <c r="BL36" s="225" t="s">
        <v>743</v>
      </c>
      <c r="BM36" s="380" t="s">
        <v>816</v>
      </c>
      <c r="BN36" s="380" t="s">
        <v>817</v>
      </c>
      <c r="BO36" s="225" t="s">
        <v>743</v>
      </c>
      <c r="BP36" s="225"/>
      <c r="BQ36" s="225"/>
      <c r="BR36" s="225"/>
      <c r="BS36" s="225"/>
      <c r="BT36" s="225"/>
      <c r="BU36" s="225"/>
      <c r="BV36" s="225"/>
      <c r="BW36" s="225"/>
      <c r="BX36" s="225"/>
      <c r="BY36" s="225"/>
      <c r="BZ36" s="225"/>
      <c r="CA36" s="225"/>
      <c r="CB36" s="225"/>
      <c r="CC36" s="225"/>
      <c r="CD36" s="225"/>
      <c r="CE36" s="225"/>
      <c r="CF36" s="225"/>
      <c r="CG36" s="225"/>
      <c r="CH36" s="380" t="s">
        <v>820</v>
      </c>
      <c r="CI36" s="380" t="s">
        <v>821</v>
      </c>
      <c r="CJ36" s="225" t="s">
        <v>743</v>
      </c>
      <c r="CK36" s="225"/>
      <c r="CL36" s="225"/>
      <c r="CM36" s="225"/>
      <c r="CN36" s="225" t="s">
        <v>835</v>
      </c>
      <c r="CO36" s="225"/>
      <c r="CP36" s="225"/>
    </row>
    <row r="37" spans="2:94" s="74" customFormat="1" ht="50.1" customHeight="1" x14ac:dyDescent="0.25">
      <c r="B37" s="98">
        <v>32</v>
      </c>
      <c r="C37" s="75" t="str">
        <f>Peserta_Didik!D34</f>
        <v>1314.10.138</v>
      </c>
      <c r="D37" s="99" t="str">
        <f>Peserta_Didik!C34</f>
        <v>Septhi Tsaltsah Rosulani</v>
      </c>
      <c r="E37" s="380" t="s">
        <v>779</v>
      </c>
      <c r="F37" s="380" t="s">
        <v>778</v>
      </c>
      <c r="G37" s="225" t="s">
        <v>747</v>
      </c>
      <c r="H37" s="380" t="s">
        <v>786</v>
      </c>
      <c r="I37" s="380" t="s">
        <v>785</v>
      </c>
      <c r="J37" s="225" t="s">
        <v>743</v>
      </c>
      <c r="K37" s="380" t="s">
        <v>744</v>
      </c>
      <c r="L37" s="380" t="s">
        <v>746</v>
      </c>
      <c r="M37" s="225" t="s">
        <v>747</v>
      </c>
      <c r="N37" s="380" t="s">
        <v>748</v>
      </c>
      <c r="O37" s="380" t="s">
        <v>749</v>
      </c>
      <c r="P37" s="225" t="s">
        <v>743</v>
      </c>
      <c r="Q37" s="380" t="s">
        <v>761</v>
      </c>
      <c r="R37" s="380" t="s">
        <v>758</v>
      </c>
      <c r="S37" s="225" t="s">
        <v>743</v>
      </c>
      <c r="T37" s="380" t="s">
        <v>773</v>
      </c>
      <c r="U37" s="380" t="s">
        <v>774</v>
      </c>
      <c r="V37" s="225" t="s">
        <v>747</v>
      </c>
      <c r="W37" s="380" t="s">
        <v>787</v>
      </c>
      <c r="X37" s="380" t="s">
        <v>788</v>
      </c>
      <c r="Y37" s="225" t="s">
        <v>743</v>
      </c>
      <c r="Z37" s="380">
        <v>0</v>
      </c>
      <c r="AA37" s="380">
        <v>0</v>
      </c>
      <c r="AB37" s="225" t="s">
        <v>743</v>
      </c>
      <c r="AC37" s="380" t="s">
        <v>762</v>
      </c>
      <c r="AD37" s="380" t="s">
        <v>763</v>
      </c>
      <c r="AE37" s="225" t="s">
        <v>747</v>
      </c>
      <c r="AF37" s="380" t="s">
        <v>770</v>
      </c>
      <c r="AG37" s="380" t="s">
        <v>772</v>
      </c>
      <c r="AH37" s="225" t="s">
        <v>747</v>
      </c>
      <c r="AI37" s="380" t="s">
        <v>824</v>
      </c>
      <c r="AJ37" s="380" t="s">
        <v>825</v>
      </c>
      <c r="AK37" s="225" t="s">
        <v>743</v>
      </c>
      <c r="AL37" s="225"/>
      <c r="AM37" s="225"/>
      <c r="AN37" s="225"/>
      <c r="AO37" s="225"/>
      <c r="AP37" s="225"/>
      <c r="AQ37" s="225"/>
      <c r="AR37" s="225"/>
      <c r="AS37" s="225"/>
      <c r="AT37" s="225"/>
      <c r="AU37" s="225"/>
      <c r="AV37" s="225"/>
      <c r="AW37" s="225"/>
      <c r="AX37" s="380" t="s">
        <v>798</v>
      </c>
      <c r="AY37" s="380" t="s">
        <v>799</v>
      </c>
      <c r="AZ37" s="225" t="s">
        <v>743</v>
      </c>
      <c r="BA37" s="380" t="s">
        <v>828</v>
      </c>
      <c r="BB37" s="380" t="s">
        <v>829</v>
      </c>
      <c r="BC37" s="225" t="s">
        <v>743</v>
      </c>
      <c r="BD37" s="380" t="s">
        <v>802</v>
      </c>
      <c r="BE37" s="380" t="s">
        <v>803</v>
      </c>
      <c r="BF37" s="225" t="s">
        <v>747</v>
      </c>
      <c r="BG37" s="380" t="s">
        <v>809</v>
      </c>
      <c r="BH37" s="380" t="s">
        <v>807</v>
      </c>
      <c r="BI37" s="225" t="s">
        <v>743</v>
      </c>
      <c r="BJ37" s="380" t="s">
        <v>810</v>
      </c>
      <c r="BK37" s="380" t="s">
        <v>811</v>
      </c>
      <c r="BL37" s="225" t="s">
        <v>743</v>
      </c>
      <c r="BM37" s="380" t="s">
        <v>818</v>
      </c>
      <c r="BN37" s="380" t="s">
        <v>817</v>
      </c>
      <c r="BO37" s="225" t="s">
        <v>747</v>
      </c>
      <c r="BP37" s="225"/>
      <c r="BQ37" s="225"/>
      <c r="BR37" s="225"/>
      <c r="BS37" s="225"/>
      <c r="BT37" s="225"/>
      <c r="BU37" s="225"/>
      <c r="BV37" s="225"/>
      <c r="BW37" s="225"/>
      <c r="BX37" s="225"/>
      <c r="BY37" s="225"/>
      <c r="BZ37" s="225"/>
      <c r="CA37" s="225"/>
      <c r="CB37" s="225"/>
      <c r="CC37" s="225"/>
      <c r="CD37" s="225"/>
      <c r="CE37" s="225"/>
      <c r="CF37" s="225"/>
      <c r="CG37" s="225"/>
      <c r="CH37" s="380" t="s">
        <v>822</v>
      </c>
      <c r="CI37" s="380" t="s">
        <v>821</v>
      </c>
      <c r="CJ37" s="225" t="s">
        <v>743</v>
      </c>
      <c r="CK37" s="225"/>
      <c r="CL37" s="225"/>
      <c r="CM37" s="225"/>
      <c r="CN37" s="225" t="s">
        <v>836</v>
      </c>
      <c r="CO37" s="225"/>
      <c r="CP37" s="225"/>
    </row>
    <row r="38" spans="2:94" s="74" customFormat="1" ht="50.1" customHeight="1" x14ac:dyDescent="0.25">
      <c r="B38" s="98">
        <v>33</v>
      </c>
      <c r="C38" s="75" t="str">
        <f>Peserta_Didik!D35</f>
        <v>1314.10.139</v>
      </c>
      <c r="D38" s="99" t="str">
        <f>Peserta_Didik!C35</f>
        <v>Silmi Farhah Fauziah</v>
      </c>
      <c r="E38" s="380" t="s">
        <v>777</v>
      </c>
      <c r="F38" s="380" t="s">
        <v>778</v>
      </c>
      <c r="G38" s="225" t="s">
        <v>747</v>
      </c>
      <c r="H38" s="380" t="s">
        <v>786</v>
      </c>
      <c r="I38" s="380" t="s">
        <v>785</v>
      </c>
      <c r="J38" s="225" t="s">
        <v>747</v>
      </c>
      <c r="K38" s="380" t="s">
        <v>744</v>
      </c>
      <c r="L38" s="380" t="s">
        <v>746</v>
      </c>
      <c r="M38" s="225" t="s">
        <v>747</v>
      </c>
      <c r="N38" s="380" t="s">
        <v>753</v>
      </c>
      <c r="O38" s="380" t="s">
        <v>752</v>
      </c>
      <c r="P38" s="225" t="s">
        <v>747</v>
      </c>
      <c r="Q38" s="380" t="s">
        <v>757</v>
      </c>
      <c r="R38" s="380" t="s">
        <v>760</v>
      </c>
      <c r="S38" s="225" t="s">
        <v>743</v>
      </c>
      <c r="T38" s="380" t="s">
        <v>773</v>
      </c>
      <c r="U38" s="380" t="s">
        <v>774</v>
      </c>
      <c r="V38" s="225" t="s">
        <v>747</v>
      </c>
      <c r="W38" s="380" t="s">
        <v>787</v>
      </c>
      <c r="X38" s="380" t="s">
        <v>788</v>
      </c>
      <c r="Y38" s="225" t="s">
        <v>743</v>
      </c>
      <c r="Z38" s="380" t="s">
        <v>793</v>
      </c>
      <c r="AA38" s="380" t="s">
        <v>794</v>
      </c>
      <c r="AB38" s="225" t="s">
        <v>743</v>
      </c>
      <c r="AC38" s="380" t="s">
        <v>762</v>
      </c>
      <c r="AD38" s="380" t="s">
        <v>763</v>
      </c>
      <c r="AE38" s="225" t="s">
        <v>747</v>
      </c>
      <c r="AF38" s="380" t="s">
        <v>768</v>
      </c>
      <c r="AG38" s="380" t="s">
        <v>772</v>
      </c>
      <c r="AH38" s="225" t="s">
        <v>747</v>
      </c>
      <c r="AI38" s="380" t="s">
        <v>824</v>
      </c>
      <c r="AJ38" s="380" t="s">
        <v>827</v>
      </c>
      <c r="AK38" s="225" t="s">
        <v>743</v>
      </c>
      <c r="AL38" s="225"/>
      <c r="AM38" s="225"/>
      <c r="AN38" s="225"/>
      <c r="AO38" s="225"/>
      <c r="AP38" s="225"/>
      <c r="AQ38" s="225"/>
      <c r="AR38" s="225"/>
      <c r="AS38" s="225"/>
      <c r="AT38" s="225"/>
      <c r="AU38" s="225"/>
      <c r="AV38" s="225"/>
      <c r="AW38" s="225"/>
      <c r="AX38" s="380" t="s">
        <v>798</v>
      </c>
      <c r="AY38" s="380" t="s">
        <v>799</v>
      </c>
      <c r="AZ38" s="225" t="s">
        <v>747</v>
      </c>
      <c r="BA38" s="380" t="s">
        <v>828</v>
      </c>
      <c r="BB38" s="380" t="s">
        <v>831</v>
      </c>
      <c r="BC38" s="225" t="s">
        <v>743</v>
      </c>
      <c r="BD38" s="380" t="s">
        <v>802</v>
      </c>
      <c r="BE38" s="380" t="s">
        <v>803</v>
      </c>
      <c r="BF38" s="225" t="s">
        <v>747</v>
      </c>
      <c r="BG38" s="380" t="s">
        <v>806</v>
      </c>
      <c r="BH38" s="380" t="s">
        <v>808</v>
      </c>
      <c r="BI38" s="225" t="s">
        <v>743</v>
      </c>
      <c r="BJ38" s="380" t="s">
        <v>815</v>
      </c>
      <c r="BK38" s="380" t="s">
        <v>813</v>
      </c>
      <c r="BL38" s="225" t="s">
        <v>743</v>
      </c>
      <c r="BM38" s="380" t="s">
        <v>818</v>
      </c>
      <c r="BN38" s="380" t="s">
        <v>817</v>
      </c>
      <c r="BO38" s="225" t="s">
        <v>747</v>
      </c>
      <c r="BP38" s="225"/>
      <c r="BQ38" s="225"/>
      <c r="BR38" s="225"/>
      <c r="BS38" s="225"/>
      <c r="BT38" s="225"/>
      <c r="BU38" s="225"/>
      <c r="BV38" s="225"/>
      <c r="BW38" s="225"/>
      <c r="BX38" s="225"/>
      <c r="BY38" s="225"/>
      <c r="BZ38" s="225"/>
      <c r="CA38" s="225"/>
      <c r="CB38" s="225"/>
      <c r="CC38" s="225"/>
      <c r="CD38" s="225"/>
      <c r="CE38" s="225"/>
      <c r="CF38" s="225"/>
      <c r="CG38" s="225"/>
      <c r="CH38" s="380" t="s">
        <v>822</v>
      </c>
      <c r="CI38" s="380" t="s">
        <v>821</v>
      </c>
      <c r="CJ38" s="225" t="s">
        <v>743</v>
      </c>
      <c r="CK38" s="225"/>
      <c r="CL38" s="225"/>
      <c r="CM38" s="225"/>
      <c r="CN38" s="225" t="s">
        <v>836</v>
      </c>
      <c r="CO38" s="225" t="s">
        <v>834</v>
      </c>
      <c r="CP38" s="225" t="s">
        <v>833</v>
      </c>
    </row>
    <row r="39" spans="2:94" s="74" customFormat="1" ht="50.1" customHeight="1" x14ac:dyDescent="0.25">
      <c r="B39" s="98">
        <v>34</v>
      </c>
      <c r="C39" s="75" t="str">
        <f>Peserta_Didik!D36</f>
        <v>1314.10.140</v>
      </c>
      <c r="D39" s="99" t="str">
        <f>Peserta_Didik!C36</f>
        <v>Syahrul Nizam</v>
      </c>
      <c r="E39" s="380" t="s">
        <v>779</v>
      </c>
      <c r="F39" s="380" t="s">
        <v>778</v>
      </c>
      <c r="G39" s="225" t="s">
        <v>743</v>
      </c>
      <c r="H39" s="380" t="s">
        <v>786</v>
      </c>
      <c r="I39" s="380" t="s">
        <v>785</v>
      </c>
      <c r="J39" s="225" t="s">
        <v>743</v>
      </c>
      <c r="K39" s="380" t="s">
        <v>741</v>
      </c>
      <c r="L39" s="380" t="s">
        <v>742</v>
      </c>
      <c r="M39" s="225" t="s">
        <v>743</v>
      </c>
      <c r="N39" s="380" t="s">
        <v>748</v>
      </c>
      <c r="O39" s="380" t="s">
        <v>749</v>
      </c>
      <c r="P39" s="225" t="s">
        <v>743</v>
      </c>
      <c r="Q39" s="380" t="s">
        <v>757</v>
      </c>
      <c r="R39" s="380" t="s">
        <v>760</v>
      </c>
      <c r="S39" s="225" t="s">
        <v>743</v>
      </c>
      <c r="T39" s="380" t="s">
        <v>773</v>
      </c>
      <c r="U39" s="380" t="s">
        <v>774</v>
      </c>
      <c r="V39" s="225" t="s">
        <v>743</v>
      </c>
      <c r="W39" s="380" t="s">
        <v>787</v>
      </c>
      <c r="X39" s="380" t="s">
        <v>788</v>
      </c>
      <c r="Y39" s="225" t="s">
        <v>743</v>
      </c>
      <c r="Z39" s="380" t="s">
        <v>793</v>
      </c>
      <c r="AA39" s="380" t="s">
        <v>794</v>
      </c>
      <c r="AB39" s="225" t="s">
        <v>743</v>
      </c>
      <c r="AC39" s="380" t="s">
        <v>762</v>
      </c>
      <c r="AD39" s="380" t="s">
        <v>763</v>
      </c>
      <c r="AE39" s="225" t="s">
        <v>743</v>
      </c>
      <c r="AF39" s="380" t="s">
        <v>770</v>
      </c>
      <c r="AG39" s="380" t="s">
        <v>767</v>
      </c>
      <c r="AH39" s="225" t="s">
        <v>747</v>
      </c>
      <c r="AI39" s="380" t="s">
        <v>824</v>
      </c>
      <c r="AJ39" s="380" t="s">
        <v>827</v>
      </c>
      <c r="AK39" s="225" t="s">
        <v>743</v>
      </c>
      <c r="AL39" s="225"/>
      <c r="AM39" s="225"/>
      <c r="AN39" s="225"/>
      <c r="AO39" s="225"/>
      <c r="AP39" s="225"/>
      <c r="AQ39" s="225"/>
      <c r="AR39" s="225"/>
      <c r="AS39" s="225"/>
      <c r="AT39" s="225"/>
      <c r="AU39" s="225"/>
      <c r="AV39" s="225"/>
      <c r="AW39" s="225"/>
      <c r="AX39" s="380" t="s">
        <v>798</v>
      </c>
      <c r="AY39" s="380" t="s">
        <v>799</v>
      </c>
      <c r="AZ39" s="225" t="s">
        <v>743</v>
      </c>
      <c r="BA39" s="380" t="s">
        <v>828</v>
      </c>
      <c r="BB39" s="380" t="s">
        <v>831</v>
      </c>
      <c r="BC39" s="225" t="s">
        <v>743</v>
      </c>
      <c r="BD39" s="380" t="s">
        <v>800</v>
      </c>
      <c r="BE39" s="380" t="s">
        <v>803</v>
      </c>
      <c r="BF39" s="225" t="s">
        <v>743</v>
      </c>
      <c r="BG39" s="380" t="s">
        <v>809</v>
      </c>
      <c r="BH39" s="380" t="s">
        <v>807</v>
      </c>
      <c r="BI39" s="225" t="s">
        <v>743</v>
      </c>
      <c r="BJ39" s="380" t="s">
        <v>815</v>
      </c>
      <c r="BK39" s="380" t="s">
        <v>811</v>
      </c>
      <c r="BL39" s="225" t="s">
        <v>743</v>
      </c>
      <c r="BM39" s="380" t="s">
        <v>818</v>
      </c>
      <c r="BN39" s="380" t="s">
        <v>817</v>
      </c>
      <c r="BO39" s="225" t="s">
        <v>743</v>
      </c>
      <c r="BP39" s="225"/>
      <c r="BQ39" s="225"/>
      <c r="BR39" s="225"/>
      <c r="BS39" s="225"/>
      <c r="BT39" s="225"/>
      <c r="BU39" s="225"/>
      <c r="BV39" s="225"/>
      <c r="BW39" s="225"/>
      <c r="BX39" s="225"/>
      <c r="BY39" s="225"/>
      <c r="BZ39" s="225"/>
      <c r="CA39" s="225"/>
      <c r="CB39" s="225"/>
      <c r="CC39" s="225"/>
      <c r="CD39" s="225"/>
      <c r="CE39" s="225"/>
      <c r="CF39" s="225"/>
      <c r="CG39" s="225"/>
      <c r="CH39" s="380" t="s">
        <v>822</v>
      </c>
      <c r="CI39" s="380" t="s">
        <v>821</v>
      </c>
      <c r="CJ39" s="225" t="s">
        <v>743</v>
      </c>
      <c r="CK39" s="225"/>
      <c r="CL39" s="225"/>
      <c r="CM39" s="225"/>
      <c r="CN39" s="225" t="s">
        <v>836</v>
      </c>
      <c r="CO39" s="225"/>
      <c r="CP39" s="225"/>
    </row>
    <row r="40" spans="2:94" s="74" customFormat="1" ht="50.1" customHeight="1" x14ac:dyDescent="0.25">
      <c r="B40" s="98">
        <v>35</v>
      </c>
      <c r="C40" s="75" t="str">
        <f>Peserta_Didik!D37</f>
        <v>1314.10.141</v>
      </c>
      <c r="D40" s="99" t="str">
        <f>Peserta_Didik!C37</f>
        <v>Teti Hanira</v>
      </c>
      <c r="E40" s="380" t="s">
        <v>779</v>
      </c>
      <c r="F40" s="380" t="s">
        <v>778</v>
      </c>
      <c r="G40" s="225" t="s">
        <v>743</v>
      </c>
      <c r="H40" s="380" t="s">
        <v>786</v>
      </c>
      <c r="I40" s="380" t="s">
        <v>785</v>
      </c>
      <c r="J40" s="225" t="s">
        <v>743</v>
      </c>
      <c r="K40" s="380" t="s">
        <v>744</v>
      </c>
      <c r="L40" s="380" t="s">
        <v>742</v>
      </c>
      <c r="M40" s="225" t="s">
        <v>743</v>
      </c>
      <c r="N40" s="380" t="s">
        <v>748</v>
      </c>
      <c r="O40" s="380" t="s">
        <v>749</v>
      </c>
      <c r="P40" s="225" t="s">
        <v>743</v>
      </c>
      <c r="Q40" s="380" t="s">
        <v>757</v>
      </c>
      <c r="R40" s="380" t="s">
        <v>760</v>
      </c>
      <c r="S40" s="225" t="s">
        <v>743</v>
      </c>
      <c r="T40" s="380" t="s">
        <v>773</v>
      </c>
      <c r="U40" s="380" t="s">
        <v>774</v>
      </c>
      <c r="V40" s="225" t="s">
        <v>743</v>
      </c>
      <c r="W40" s="380" t="s">
        <v>787</v>
      </c>
      <c r="X40" s="380" t="s">
        <v>788</v>
      </c>
      <c r="Y40" s="225" t="s">
        <v>743</v>
      </c>
      <c r="Z40" s="380" t="s">
        <v>791</v>
      </c>
      <c r="AA40" s="380" t="s">
        <v>794</v>
      </c>
      <c r="AB40" s="225" t="s">
        <v>743</v>
      </c>
      <c r="AC40" s="380" t="s">
        <v>762</v>
      </c>
      <c r="AD40" s="380" t="s">
        <v>763</v>
      </c>
      <c r="AE40" s="225" t="s">
        <v>743</v>
      </c>
      <c r="AF40" s="380" t="s">
        <v>770</v>
      </c>
      <c r="AG40" s="380" t="s">
        <v>767</v>
      </c>
      <c r="AH40" s="225" t="s">
        <v>747</v>
      </c>
      <c r="AI40" s="380" t="s">
        <v>826</v>
      </c>
      <c r="AJ40" s="380" t="s">
        <v>827</v>
      </c>
      <c r="AK40" s="225" t="s">
        <v>743</v>
      </c>
      <c r="AL40" s="225"/>
      <c r="AM40" s="225"/>
      <c r="AN40" s="225"/>
      <c r="AO40" s="225"/>
      <c r="AP40" s="225"/>
      <c r="AQ40" s="225"/>
      <c r="AR40" s="225"/>
      <c r="AS40" s="225"/>
      <c r="AT40" s="225"/>
      <c r="AU40" s="225"/>
      <c r="AV40" s="225"/>
      <c r="AW40" s="225"/>
      <c r="AX40" s="380" t="s">
        <v>798</v>
      </c>
      <c r="AY40" s="380" t="s">
        <v>799</v>
      </c>
      <c r="AZ40" s="225" t="s">
        <v>743</v>
      </c>
      <c r="BA40" s="380" t="s">
        <v>830</v>
      </c>
      <c r="BB40" s="380" t="s">
        <v>831</v>
      </c>
      <c r="BC40" s="225" t="s">
        <v>743</v>
      </c>
      <c r="BD40" s="380" t="s">
        <v>800</v>
      </c>
      <c r="BE40" s="380" t="s">
        <v>803</v>
      </c>
      <c r="BF40" s="225" t="s">
        <v>743</v>
      </c>
      <c r="BG40" s="380" t="s">
        <v>809</v>
      </c>
      <c r="BH40" s="380" t="s">
        <v>807</v>
      </c>
      <c r="BI40" s="225" t="s">
        <v>743</v>
      </c>
      <c r="BJ40" s="380" t="s">
        <v>810</v>
      </c>
      <c r="BK40" s="380" t="s">
        <v>811</v>
      </c>
      <c r="BL40" s="225" t="s">
        <v>743</v>
      </c>
      <c r="BM40" s="380" t="s">
        <v>816</v>
      </c>
      <c r="BN40" s="380" t="s">
        <v>817</v>
      </c>
      <c r="BO40" s="225" t="s">
        <v>743</v>
      </c>
      <c r="BP40" s="225"/>
      <c r="BQ40" s="225"/>
      <c r="BR40" s="225"/>
      <c r="BS40" s="225"/>
      <c r="BT40" s="225"/>
      <c r="BU40" s="225"/>
      <c r="BV40" s="225"/>
      <c r="BW40" s="225"/>
      <c r="BX40" s="225"/>
      <c r="BY40" s="225"/>
      <c r="BZ40" s="225"/>
      <c r="CA40" s="225"/>
      <c r="CB40" s="225"/>
      <c r="CC40" s="225"/>
      <c r="CD40" s="225"/>
      <c r="CE40" s="225"/>
      <c r="CF40" s="225"/>
      <c r="CG40" s="225"/>
      <c r="CH40" s="380" t="s">
        <v>820</v>
      </c>
      <c r="CI40" s="380" t="s">
        <v>823</v>
      </c>
      <c r="CJ40" s="225" t="s">
        <v>743</v>
      </c>
      <c r="CK40" s="225"/>
      <c r="CL40" s="225"/>
      <c r="CM40" s="225"/>
      <c r="CN40" s="225" t="s">
        <v>836</v>
      </c>
      <c r="CO40" s="225"/>
      <c r="CP40" s="225"/>
    </row>
    <row r="41" spans="2:94" s="74" customFormat="1" ht="50.1" customHeight="1" x14ac:dyDescent="0.25">
      <c r="B41" s="98">
        <v>36</v>
      </c>
      <c r="C41" s="75" t="str">
        <f>Peserta_Didik!D38</f>
        <v>1314.10.142</v>
      </c>
      <c r="D41" s="99" t="str">
        <f>Peserta_Didik!C38</f>
        <v>Yongki Agustin</v>
      </c>
      <c r="E41" s="380" t="s">
        <v>779</v>
      </c>
      <c r="F41" s="380" t="s">
        <v>776</v>
      </c>
      <c r="G41" s="225" t="s">
        <v>743</v>
      </c>
      <c r="H41" s="380" t="s">
        <v>781</v>
      </c>
      <c r="I41" s="380" t="s">
        <v>785</v>
      </c>
      <c r="J41" s="225" t="s">
        <v>743</v>
      </c>
      <c r="K41" s="380" t="s">
        <v>741</v>
      </c>
      <c r="L41" s="380" t="s">
        <v>742</v>
      </c>
      <c r="M41" s="225" t="s">
        <v>743</v>
      </c>
      <c r="N41" s="380" t="s">
        <v>748</v>
      </c>
      <c r="O41" s="380" t="s">
        <v>752</v>
      </c>
      <c r="P41" s="225" t="s">
        <v>743</v>
      </c>
      <c r="Q41" s="380" t="s">
        <v>761</v>
      </c>
      <c r="R41" s="380" t="s">
        <v>760</v>
      </c>
      <c r="S41" s="225" t="s">
        <v>743</v>
      </c>
      <c r="T41" s="380" t="s">
        <v>773</v>
      </c>
      <c r="U41" s="380" t="s">
        <v>774</v>
      </c>
      <c r="V41" s="225" t="s">
        <v>743</v>
      </c>
      <c r="W41" s="380" t="s">
        <v>787</v>
      </c>
      <c r="X41" s="380" t="s">
        <v>788</v>
      </c>
      <c r="Y41" s="225" t="s">
        <v>743</v>
      </c>
      <c r="Z41" s="380" t="s">
        <v>795</v>
      </c>
      <c r="AA41" s="380" t="s">
        <v>794</v>
      </c>
      <c r="AB41" s="225" t="s">
        <v>743</v>
      </c>
      <c r="AC41" s="380" t="s">
        <v>762</v>
      </c>
      <c r="AD41" s="380" t="s">
        <v>763</v>
      </c>
      <c r="AE41" s="225" t="s">
        <v>743</v>
      </c>
      <c r="AF41" s="380" t="s">
        <v>770</v>
      </c>
      <c r="AG41" s="380" t="s">
        <v>767</v>
      </c>
      <c r="AH41" s="225" t="s">
        <v>743</v>
      </c>
      <c r="AI41" s="380" t="s">
        <v>824</v>
      </c>
      <c r="AJ41" s="380" t="s">
        <v>825</v>
      </c>
      <c r="AK41" s="225" t="s">
        <v>743</v>
      </c>
      <c r="AL41" s="225"/>
      <c r="AM41" s="225"/>
      <c r="AN41" s="225"/>
      <c r="AO41" s="225"/>
      <c r="AP41" s="225"/>
      <c r="AQ41" s="225"/>
      <c r="AR41" s="225"/>
      <c r="AS41" s="225"/>
      <c r="AT41" s="225"/>
      <c r="AU41" s="225"/>
      <c r="AV41" s="225"/>
      <c r="AW41" s="225"/>
      <c r="AX41" s="380" t="s">
        <v>796</v>
      </c>
      <c r="AY41" s="380" t="s">
        <v>799</v>
      </c>
      <c r="AZ41" s="225" t="s">
        <v>743</v>
      </c>
      <c r="BA41" s="380" t="s">
        <v>830</v>
      </c>
      <c r="BB41" s="380" t="s">
        <v>831</v>
      </c>
      <c r="BC41" s="225" t="s">
        <v>743</v>
      </c>
      <c r="BD41" s="380" t="s">
        <v>802</v>
      </c>
      <c r="BE41" s="380" t="s">
        <v>803</v>
      </c>
      <c r="BF41" s="225" t="s">
        <v>743</v>
      </c>
      <c r="BG41" s="380" t="s">
        <v>809</v>
      </c>
      <c r="BH41" s="380" t="s">
        <v>807</v>
      </c>
      <c r="BI41" s="225" t="s">
        <v>743</v>
      </c>
      <c r="BJ41" s="380" t="s">
        <v>815</v>
      </c>
      <c r="BK41" s="380" t="s">
        <v>813</v>
      </c>
      <c r="BL41" s="225" t="s">
        <v>743</v>
      </c>
      <c r="BM41" s="380" t="s">
        <v>818</v>
      </c>
      <c r="BN41" s="380" t="s">
        <v>817</v>
      </c>
      <c r="BO41" s="225" t="s">
        <v>743</v>
      </c>
      <c r="BP41" s="225"/>
      <c r="BQ41" s="225"/>
      <c r="BR41" s="225"/>
      <c r="BS41" s="225"/>
      <c r="BT41" s="225"/>
      <c r="BU41" s="225"/>
      <c r="BV41" s="225"/>
      <c r="BW41" s="225"/>
      <c r="BX41" s="225"/>
      <c r="BY41" s="225"/>
      <c r="BZ41" s="225"/>
      <c r="CA41" s="225"/>
      <c r="CB41" s="225"/>
      <c r="CC41" s="225"/>
      <c r="CD41" s="225"/>
      <c r="CE41" s="225"/>
      <c r="CF41" s="225"/>
      <c r="CG41" s="225"/>
      <c r="CH41" s="380" t="s">
        <v>820</v>
      </c>
      <c r="CI41" s="380" t="s">
        <v>823</v>
      </c>
      <c r="CJ41" s="225" t="s">
        <v>743</v>
      </c>
      <c r="CK41" s="225"/>
      <c r="CL41" s="225"/>
      <c r="CM41" s="225"/>
      <c r="CN41" s="225" t="s">
        <v>836</v>
      </c>
      <c r="CO41" s="225" t="s">
        <v>834</v>
      </c>
      <c r="CP41" s="225"/>
    </row>
    <row r="42" spans="2:94" s="74" customFormat="1" ht="50.1" customHeight="1" x14ac:dyDescent="0.25">
      <c r="B42" s="98">
        <v>37</v>
      </c>
      <c r="C42" s="75" t="str">
        <f>Peserta_Didik!D39</f>
        <v>1314.10.143</v>
      </c>
      <c r="D42" s="99" t="str">
        <f>Peserta_Didik!C39</f>
        <v>Yusi Ridwan Firdaus</v>
      </c>
      <c r="E42" s="380" t="s">
        <v>779</v>
      </c>
      <c r="F42" s="380" t="s">
        <v>776</v>
      </c>
      <c r="G42" s="225" t="s">
        <v>743</v>
      </c>
      <c r="H42" s="380" t="s">
        <v>781</v>
      </c>
      <c r="I42" s="380" t="s">
        <v>785</v>
      </c>
      <c r="J42" s="225" t="s">
        <v>743</v>
      </c>
      <c r="K42" s="380" t="s">
        <v>741</v>
      </c>
      <c r="L42" s="380" t="s">
        <v>742</v>
      </c>
      <c r="M42" s="225" t="s">
        <v>743</v>
      </c>
      <c r="N42" s="380" t="s">
        <v>748</v>
      </c>
      <c r="O42" s="380" t="s">
        <v>749</v>
      </c>
      <c r="P42" s="225" t="s">
        <v>743</v>
      </c>
      <c r="Q42" s="380" t="s">
        <v>761</v>
      </c>
      <c r="R42" s="380" t="s">
        <v>760</v>
      </c>
      <c r="S42" s="225" t="s">
        <v>743</v>
      </c>
      <c r="T42" s="380" t="s">
        <v>773</v>
      </c>
      <c r="U42" s="380" t="s">
        <v>774</v>
      </c>
      <c r="V42" s="225" t="s">
        <v>743</v>
      </c>
      <c r="W42" s="380" t="s">
        <v>787</v>
      </c>
      <c r="X42" s="380" t="s">
        <v>788</v>
      </c>
      <c r="Y42" s="225" t="s">
        <v>743</v>
      </c>
      <c r="Z42" s="380" t="s">
        <v>791</v>
      </c>
      <c r="AA42" s="380" t="s">
        <v>794</v>
      </c>
      <c r="AB42" s="225" t="s">
        <v>743</v>
      </c>
      <c r="AC42" s="380" t="s">
        <v>762</v>
      </c>
      <c r="AD42" s="380" t="s">
        <v>763</v>
      </c>
      <c r="AE42" s="225" t="s">
        <v>743</v>
      </c>
      <c r="AF42" s="380" t="s">
        <v>770</v>
      </c>
      <c r="AG42" s="380" t="s">
        <v>767</v>
      </c>
      <c r="AH42" s="225" t="s">
        <v>743</v>
      </c>
      <c r="AI42" s="380" t="s">
        <v>824</v>
      </c>
      <c r="AJ42" s="380" t="s">
        <v>827</v>
      </c>
      <c r="AK42" s="225" t="s">
        <v>743</v>
      </c>
      <c r="AL42" s="225"/>
      <c r="AM42" s="225"/>
      <c r="AN42" s="225"/>
      <c r="AO42" s="225"/>
      <c r="AP42" s="225"/>
      <c r="AQ42" s="225"/>
      <c r="AR42" s="225"/>
      <c r="AS42" s="225"/>
      <c r="AT42" s="225"/>
      <c r="AU42" s="225"/>
      <c r="AV42" s="225"/>
      <c r="AW42" s="225"/>
      <c r="AX42" s="380" t="s">
        <v>796</v>
      </c>
      <c r="AY42" s="380" t="s">
        <v>799</v>
      </c>
      <c r="AZ42" s="225" t="s">
        <v>743</v>
      </c>
      <c r="BA42" s="380" t="s">
        <v>830</v>
      </c>
      <c r="BB42" s="380" t="s">
        <v>831</v>
      </c>
      <c r="BC42" s="225" t="s">
        <v>743</v>
      </c>
      <c r="BD42" s="380" t="s">
        <v>802</v>
      </c>
      <c r="BE42" s="380" t="s">
        <v>803</v>
      </c>
      <c r="BF42" s="225" t="s">
        <v>743</v>
      </c>
      <c r="BG42" s="380" t="s">
        <v>809</v>
      </c>
      <c r="BH42" s="380" t="s">
        <v>808</v>
      </c>
      <c r="BI42" s="225" t="s">
        <v>743</v>
      </c>
      <c r="BJ42" s="380" t="s">
        <v>815</v>
      </c>
      <c r="BK42" s="380" t="s">
        <v>811</v>
      </c>
      <c r="BL42" s="225" t="s">
        <v>743</v>
      </c>
      <c r="BM42" s="380" t="s">
        <v>818</v>
      </c>
      <c r="BN42" s="380" t="s">
        <v>817</v>
      </c>
      <c r="BO42" s="225" t="s">
        <v>743</v>
      </c>
      <c r="BP42" s="225"/>
      <c r="BQ42" s="225"/>
      <c r="BR42" s="225"/>
      <c r="BS42" s="225"/>
      <c r="BT42" s="225"/>
      <c r="BU42" s="225"/>
      <c r="BV42" s="225"/>
      <c r="BW42" s="225"/>
      <c r="BX42" s="225"/>
      <c r="BY42" s="225"/>
      <c r="BZ42" s="225"/>
      <c r="CA42" s="225"/>
      <c r="CB42" s="225"/>
      <c r="CC42" s="225"/>
      <c r="CD42" s="225"/>
      <c r="CE42" s="225"/>
      <c r="CF42" s="225"/>
      <c r="CG42" s="225"/>
      <c r="CH42" s="380" t="s">
        <v>820</v>
      </c>
      <c r="CI42" s="380" t="s">
        <v>823</v>
      </c>
      <c r="CJ42" s="225" t="s">
        <v>743</v>
      </c>
      <c r="CK42" s="225"/>
      <c r="CL42" s="225"/>
      <c r="CM42" s="225"/>
      <c r="CN42" s="225" t="s">
        <v>835</v>
      </c>
      <c r="CO42" s="225" t="s">
        <v>834</v>
      </c>
      <c r="CP42" s="225"/>
    </row>
    <row r="43" spans="2:94" s="74" customFormat="1" ht="50.1" customHeight="1" x14ac:dyDescent="0.25">
      <c r="B43" s="98">
        <v>38</v>
      </c>
      <c r="C43" s="75" t="str">
        <f>Peserta_Didik!D40</f>
        <v>1314.10.144</v>
      </c>
      <c r="D43" s="99" t="str">
        <f>Peserta_Didik!C40</f>
        <v>Zineda Zidan</v>
      </c>
      <c r="E43" s="380" t="s">
        <v>779</v>
      </c>
      <c r="F43" s="380" t="s">
        <v>776</v>
      </c>
      <c r="G43" s="225" t="s">
        <v>743</v>
      </c>
      <c r="H43" s="380" t="s">
        <v>781</v>
      </c>
      <c r="I43" s="380" t="s">
        <v>785</v>
      </c>
      <c r="J43" s="225" t="s">
        <v>743</v>
      </c>
      <c r="K43" s="380" t="s">
        <v>741</v>
      </c>
      <c r="L43" s="380" t="s">
        <v>742</v>
      </c>
      <c r="M43" s="225" t="s">
        <v>743</v>
      </c>
      <c r="N43" s="380" t="s">
        <v>753</v>
      </c>
      <c r="O43" s="380" t="s">
        <v>755</v>
      </c>
      <c r="P43" s="225" t="s">
        <v>743</v>
      </c>
      <c r="Q43" s="380" t="s">
        <v>757</v>
      </c>
      <c r="R43" s="380" t="s">
        <v>760</v>
      </c>
      <c r="S43" s="225" t="s">
        <v>743</v>
      </c>
      <c r="T43" s="380" t="s">
        <v>773</v>
      </c>
      <c r="U43" s="380" t="s">
        <v>774</v>
      </c>
      <c r="V43" s="225" t="s">
        <v>743</v>
      </c>
      <c r="W43" s="380" t="s">
        <v>787</v>
      </c>
      <c r="X43" s="380" t="s">
        <v>788</v>
      </c>
      <c r="Y43" s="225" t="s">
        <v>743</v>
      </c>
      <c r="Z43" s="380" t="s">
        <v>793</v>
      </c>
      <c r="AA43" s="380" t="s">
        <v>794</v>
      </c>
      <c r="AB43" s="225" t="s">
        <v>743</v>
      </c>
      <c r="AC43" s="380" t="s">
        <v>762</v>
      </c>
      <c r="AD43" s="380" t="s">
        <v>763</v>
      </c>
      <c r="AE43" s="225" t="s">
        <v>743</v>
      </c>
      <c r="AF43" s="380" t="s">
        <v>770</v>
      </c>
      <c r="AG43" s="380" t="s">
        <v>767</v>
      </c>
      <c r="AH43" s="225" t="s">
        <v>743</v>
      </c>
      <c r="AI43" s="380" t="s">
        <v>824</v>
      </c>
      <c r="AJ43" s="380" t="s">
        <v>825</v>
      </c>
      <c r="AK43" s="225" t="s">
        <v>743</v>
      </c>
      <c r="AL43" s="225"/>
      <c r="AM43" s="225"/>
      <c r="AN43" s="225"/>
      <c r="AO43" s="225"/>
      <c r="AP43" s="225"/>
      <c r="AQ43" s="225"/>
      <c r="AR43" s="225"/>
      <c r="AS43" s="225"/>
      <c r="AT43" s="225"/>
      <c r="AU43" s="225"/>
      <c r="AV43" s="225"/>
      <c r="AW43" s="225"/>
      <c r="AX43" s="380" t="s">
        <v>796</v>
      </c>
      <c r="AY43" s="380" t="s">
        <v>799</v>
      </c>
      <c r="AZ43" s="225" t="s">
        <v>743</v>
      </c>
      <c r="BA43" s="380" t="s">
        <v>828</v>
      </c>
      <c r="BB43" s="380" t="s">
        <v>831</v>
      </c>
      <c r="BC43" s="225" t="s">
        <v>743</v>
      </c>
      <c r="BD43" s="380" t="s">
        <v>802</v>
      </c>
      <c r="BE43" s="380" t="s">
        <v>803</v>
      </c>
      <c r="BF43" s="225" t="s">
        <v>743</v>
      </c>
      <c r="BG43" s="380" t="s">
        <v>809</v>
      </c>
      <c r="BH43" s="380" t="s">
        <v>807</v>
      </c>
      <c r="BI43" s="225" t="s">
        <v>743</v>
      </c>
      <c r="BJ43" s="380" t="s">
        <v>815</v>
      </c>
      <c r="BK43" s="380" t="s">
        <v>813</v>
      </c>
      <c r="BL43" s="225" t="s">
        <v>743</v>
      </c>
      <c r="BM43" s="380" t="s">
        <v>818</v>
      </c>
      <c r="BN43" s="380" t="s">
        <v>817</v>
      </c>
      <c r="BO43" s="225" t="s">
        <v>743</v>
      </c>
      <c r="BP43" s="225"/>
      <c r="BQ43" s="225"/>
      <c r="BR43" s="225"/>
      <c r="BS43" s="225"/>
      <c r="BT43" s="225"/>
      <c r="BU43" s="225"/>
      <c r="BV43" s="225"/>
      <c r="BW43" s="225"/>
      <c r="BX43" s="225"/>
      <c r="BY43" s="225"/>
      <c r="BZ43" s="225"/>
      <c r="CA43" s="225"/>
      <c r="CB43" s="225"/>
      <c r="CC43" s="225"/>
      <c r="CD43" s="225"/>
      <c r="CE43" s="225"/>
      <c r="CF43" s="225"/>
      <c r="CG43" s="225"/>
      <c r="CH43" s="380" t="s">
        <v>820</v>
      </c>
      <c r="CI43" s="380" t="s">
        <v>823</v>
      </c>
      <c r="CJ43" s="225" t="s">
        <v>743</v>
      </c>
      <c r="CK43" s="225"/>
      <c r="CL43" s="225"/>
      <c r="CM43" s="225"/>
      <c r="CN43" s="225" t="s">
        <v>836</v>
      </c>
      <c r="CO43" s="225" t="s">
        <v>834</v>
      </c>
      <c r="CP43" s="225"/>
    </row>
    <row r="44" spans="2:94" s="74" customFormat="1" ht="50.1" customHeight="1" x14ac:dyDescent="0.25">
      <c r="B44" s="98">
        <v>39</v>
      </c>
      <c r="C44" s="75">
        <f>Peserta_Didik!D41</f>
        <v>0</v>
      </c>
      <c r="D44" s="99">
        <f>Peserta_Didik!C41</f>
        <v>0</v>
      </c>
      <c r="E44" s="225"/>
      <c r="F44" s="225"/>
      <c r="G44" s="225"/>
      <c r="H44" s="225"/>
      <c r="I44" s="225"/>
      <c r="J44" s="225"/>
      <c r="K44" s="225"/>
      <c r="L44" s="225"/>
      <c r="M44" s="225"/>
      <c r="N44" s="225"/>
      <c r="O44" s="225"/>
      <c r="P44" s="225"/>
      <c r="Q44" s="225"/>
      <c r="R44" s="225"/>
      <c r="S44" s="225"/>
      <c r="T44" s="225"/>
      <c r="U44" s="225"/>
      <c r="V44" s="225"/>
      <c r="W44" s="225"/>
      <c r="X44" s="225"/>
      <c r="Y44" s="225"/>
      <c r="Z44" s="225"/>
      <c r="AA44" s="225"/>
      <c r="AB44" s="225"/>
      <c r="AC44" s="225"/>
      <c r="AD44" s="225"/>
      <c r="AE44" s="225"/>
      <c r="AF44" s="225"/>
      <c r="AG44" s="225"/>
      <c r="AH44" s="225"/>
      <c r="AI44" s="225"/>
      <c r="AJ44" s="225"/>
      <c r="AK44" s="225"/>
      <c r="AL44" s="225"/>
      <c r="AM44" s="225"/>
      <c r="AN44" s="225"/>
      <c r="AO44" s="225"/>
      <c r="AP44" s="225"/>
      <c r="AQ44" s="225"/>
      <c r="AR44" s="225"/>
      <c r="AS44" s="225"/>
      <c r="AT44" s="225"/>
      <c r="AU44" s="225"/>
      <c r="AV44" s="225"/>
      <c r="AW44" s="225"/>
      <c r="AX44" s="225"/>
      <c r="AY44" s="225"/>
      <c r="AZ44" s="225"/>
      <c r="BA44" s="225"/>
      <c r="BB44" s="225"/>
      <c r="BC44" s="225"/>
      <c r="BD44" s="225"/>
      <c r="BE44" s="225"/>
      <c r="BF44" s="225"/>
      <c r="BG44" s="225"/>
      <c r="BH44" s="225"/>
      <c r="BI44" s="225"/>
      <c r="BJ44" s="225"/>
      <c r="BK44" s="225"/>
      <c r="BL44" s="225"/>
      <c r="BM44" s="225"/>
      <c r="BN44" s="225"/>
      <c r="BO44" s="225"/>
      <c r="BP44" s="225"/>
      <c r="BQ44" s="225"/>
      <c r="BR44" s="225"/>
      <c r="BS44" s="225"/>
      <c r="BT44" s="225"/>
      <c r="BU44" s="225"/>
      <c r="BV44" s="225"/>
      <c r="BW44" s="225"/>
      <c r="BX44" s="225"/>
      <c r="BY44" s="225"/>
      <c r="BZ44" s="225"/>
      <c r="CA44" s="225"/>
      <c r="CB44" s="225"/>
      <c r="CC44" s="225"/>
      <c r="CD44" s="225"/>
      <c r="CE44" s="225"/>
      <c r="CF44" s="225"/>
      <c r="CG44" s="225"/>
      <c r="CH44" s="225"/>
      <c r="CI44" s="225"/>
      <c r="CJ44" s="225"/>
      <c r="CK44" s="225"/>
      <c r="CL44" s="225"/>
      <c r="CM44" s="225"/>
      <c r="CN44" s="225"/>
      <c r="CO44" s="225"/>
      <c r="CP44" s="225"/>
    </row>
    <row r="45" spans="2:94" s="74" customFormat="1" ht="50.1" customHeight="1" x14ac:dyDescent="0.25">
      <c r="B45" s="98">
        <v>40</v>
      </c>
      <c r="C45" s="75">
        <f>Peserta_Didik!D42</f>
        <v>0</v>
      </c>
      <c r="D45" s="99">
        <f>Peserta_Didik!C42</f>
        <v>0</v>
      </c>
      <c r="E45" s="225"/>
      <c r="F45" s="225"/>
      <c r="G45" s="225"/>
      <c r="H45" s="225"/>
      <c r="I45" s="225"/>
      <c r="J45" s="225"/>
      <c r="K45" s="225"/>
      <c r="L45" s="225"/>
      <c r="M45" s="225"/>
      <c r="N45" s="225"/>
      <c r="O45" s="225"/>
      <c r="P45" s="225"/>
      <c r="Q45" s="225"/>
      <c r="R45" s="225"/>
      <c r="S45" s="225"/>
      <c r="T45" s="225"/>
      <c r="U45" s="225"/>
      <c r="V45" s="225"/>
      <c r="W45" s="225"/>
      <c r="X45" s="225"/>
      <c r="Y45" s="225"/>
      <c r="Z45" s="225"/>
      <c r="AA45" s="225"/>
      <c r="AB45" s="225"/>
      <c r="AC45" s="225"/>
      <c r="AD45" s="225"/>
      <c r="AE45" s="225"/>
      <c r="AF45" s="225"/>
      <c r="AG45" s="225"/>
      <c r="AH45" s="225"/>
      <c r="AI45" s="225"/>
      <c r="AJ45" s="225"/>
      <c r="AK45" s="225"/>
      <c r="AL45" s="225"/>
      <c r="AM45" s="225"/>
      <c r="AN45" s="225"/>
      <c r="AO45" s="225"/>
      <c r="AP45" s="225"/>
      <c r="AQ45" s="225"/>
      <c r="AR45" s="225"/>
      <c r="AS45" s="225"/>
      <c r="AT45" s="225"/>
      <c r="AU45" s="225"/>
      <c r="AV45" s="225"/>
      <c r="AW45" s="225"/>
      <c r="AX45" s="225"/>
      <c r="AY45" s="225"/>
      <c r="AZ45" s="225"/>
      <c r="BA45" s="225"/>
      <c r="BB45" s="225"/>
      <c r="BC45" s="225"/>
      <c r="BD45" s="225"/>
      <c r="BE45" s="225"/>
      <c r="BF45" s="225"/>
      <c r="BG45" s="225"/>
      <c r="BH45" s="225"/>
      <c r="BI45" s="225"/>
      <c r="BJ45" s="225"/>
      <c r="BK45" s="225"/>
      <c r="BL45" s="225"/>
      <c r="BM45" s="225"/>
      <c r="BN45" s="225"/>
      <c r="BO45" s="225"/>
      <c r="BP45" s="225"/>
      <c r="BQ45" s="225"/>
      <c r="BR45" s="225"/>
      <c r="BS45" s="225"/>
      <c r="BT45" s="225"/>
      <c r="BU45" s="225"/>
      <c r="BV45" s="225"/>
      <c r="BW45" s="225"/>
      <c r="BX45" s="225"/>
      <c r="BY45" s="225"/>
      <c r="BZ45" s="225"/>
      <c r="CA45" s="225"/>
      <c r="CB45" s="225"/>
      <c r="CC45" s="225"/>
      <c r="CD45" s="225"/>
      <c r="CE45" s="225"/>
      <c r="CF45" s="225"/>
      <c r="CG45" s="225"/>
      <c r="CH45" s="225"/>
      <c r="CI45" s="225"/>
      <c r="CJ45" s="225"/>
      <c r="CK45" s="225"/>
      <c r="CL45" s="225"/>
      <c r="CM45" s="225"/>
      <c r="CN45" s="225"/>
      <c r="CO45" s="225"/>
      <c r="CP45" s="225"/>
    </row>
    <row r="48" spans="2:94" ht="24.75" customHeight="1" x14ac:dyDescent="0.25">
      <c r="B48" s="399" t="s">
        <v>180</v>
      </c>
      <c r="C48" s="399"/>
      <c r="D48" s="399"/>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row>
  </sheetData>
  <sheetProtection password="CA9C" sheet="1" objects="1" scenarios="1" selectLockedCells="1"/>
  <mergeCells count="40">
    <mergeCell ref="CE4:CG4"/>
    <mergeCell ref="CH4:CJ4"/>
    <mergeCell ref="CH3:CM3"/>
    <mergeCell ref="BP3:CG3"/>
    <mergeCell ref="AO4:AQ4"/>
    <mergeCell ref="AR4:AT4"/>
    <mergeCell ref="AU4:AW4"/>
    <mergeCell ref="AF3:AW3"/>
    <mergeCell ref="T4:V4"/>
    <mergeCell ref="W4:Y4"/>
    <mergeCell ref="Z4:AB4"/>
    <mergeCell ref="AC4:AE4"/>
    <mergeCell ref="CO4:CO5"/>
    <mergeCell ref="BA4:BC4"/>
    <mergeCell ref="BG4:BI4"/>
    <mergeCell ref="CN3:CN5"/>
    <mergeCell ref="BS4:BU4"/>
    <mergeCell ref="BV4:BX4"/>
    <mergeCell ref="BD4:BF4"/>
    <mergeCell ref="BJ4:BL4"/>
    <mergeCell ref="BP4:BR4"/>
    <mergeCell ref="BM4:BO4"/>
    <mergeCell ref="BY4:CA4"/>
    <mergeCell ref="CB4:CD4"/>
    <mergeCell ref="B48:D48"/>
    <mergeCell ref="CO3:CP3"/>
    <mergeCell ref="CK4:CM4"/>
    <mergeCell ref="E3:V3"/>
    <mergeCell ref="W3:AE3"/>
    <mergeCell ref="AX3:BL3"/>
    <mergeCell ref="CP4:CP5"/>
    <mergeCell ref="E4:G4"/>
    <mergeCell ref="AF4:AH4"/>
    <mergeCell ref="AI4:AK4"/>
    <mergeCell ref="N4:P4"/>
    <mergeCell ref="K4:M4"/>
    <mergeCell ref="H4:J4"/>
    <mergeCell ref="AL4:AN4"/>
    <mergeCell ref="AX4:AZ4"/>
    <mergeCell ref="Q4:S4"/>
  </mergeCells>
  <hyperlinks>
    <hyperlink ref="B48:C48" location="'RK2013'!A1" display="Kembali Ke Halaman Menu Utama"/>
  </hyperlinks>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B1:DA57"/>
  <sheetViews>
    <sheetView showGridLines="0" showRowColHeaders="0" tabSelected="1" topLeftCell="D1" workbookViewId="0">
      <pane xSplit="1" ySplit="4" topLeftCell="G5" activePane="bottomRight" state="frozen"/>
      <selection activeCell="B33" sqref="B33:C33"/>
      <selection pane="topRight" activeCell="B33" sqref="B33:C33"/>
      <selection pane="bottomLeft" activeCell="B33" sqref="B33:C33"/>
      <selection pane="bottomRight" activeCell="AK5" sqref="AK5"/>
    </sheetView>
  </sheetViews>
  <sheetFormatPr defaultRowHeight="15" x14ac:dyDescent="0.25"/>
  <cols>
    <col min="1" max="1" width="9.140625" style="136"/>
    <col min="2" max="2" width="5.140625" style="136" customWidth="1"/>
    <col min="3" max="3" width="11" style="136" customWidth="1"/>
    <col min="4" max="4" width="23.42578125" style="136" customWidth="1"/>
    <col min="5" max="91" width="5.42578125" style="221" customWidth="1"/>
    <col min="92" max="92" width="15.7109375" style="229" customWidth="1"/>
    <col min="93" max="93" width="5.7109375" style="200" customWidth="1"/>
    <col min="94" max="94" width="15.7109375" style="229" customWidth="1"/>
    <col min="95" max="95" width="5.7109375" style="200" customWidth="1"/>
    <col min="96" max="98" width="5.7109375" style="136" customWidth="1"/>
    <col min="99" max="101" width="9.140625" style="175"/>
    <col min="102" max="102" width="9.140625" style="246"/>
    <col min="103" max="103" width="17.85546875" style="136" bestFit="1" customWidth="1"/>
    <col min="104" max="104" width="19.28515625" style="136" customWidth="1"/>
    <col min="105" max="16384" width="9.140625" style="136"/>
  </cols>
  <sheetData>
    <row r="1" spans="2:105" x14ac:dyDescent="0.25">
      <c r="B1" s="200">
        <v>1</v>
      </c>
      <c r="C1" s="200">
        <v>2</v>
      </c>
      <c r="D1" s="200">
        <v>3</v>
      </c>
      <c r="E1" s="200">
        <v>4</v>
      </c>
      <c r="F1" s="200">
        <v>5</v>
      </c>
      <c r="G1" s="200">
        <v>6</v>
      </c>
      <c r="H1" s="200">
        <v>7</v>
      </c>
      <c r="I1" s="200">
        <v>8</v>
      </c>
      <c r="J1" s="200">
        <v>9</v>
      </c>
      <c r="K1" s="200">
        <v>10</v>
      </c>
      <c r="L1" s="200">
        <v>11</v>
      </c>
      <c r="M1" s="200">
        <v>12</v>
      </c>
      <c r="N1" s="200">
        <v>13</v>
      </c>
      <c r="O1" s="200">
        <v>14</v>
      </c>
      <c r="P1" s="200">
        <v>15</v>
      </c>
      <c r="Q1" s="200">
        <v>16</v>
      </c>
      <c r="R1" s="200">
        <v>17</v>
      </c>
      <c r="S1" s="200">
        <v>18</v>
      </c>
      <c r="T1" s="200">
        <v>19</v>
      </c>
      <c r="U1" s="200">
        <v>20</v>
      </c>
      <c r="V1" s="200">
        <v>21</v>
      </c>
      <c r="W1" s="200">
        <v>22</v>
      </c>
      <c r="X1" s="200">
        <v>23</v>
      </c>
      <c r="Y1" s="200">
        <v>24</v>
      </c>
      <c r="Z1" s="200">
        <v>25</v>
      </c>
      <c r="AA1" s="200">
        <v>26</v>
      </c>
      <c r="AB1" s="200">
        <v>27</v>
      </c>
      <c r="AC1" s="200">
        <v>28</v>
      </c>
      <c r="AD1" s="200">
        <v>29</v>
      </c>
      <c r="AE1" s="200">
        <v>30</v>
      </c>
      <c r="AF1" s="200">
        <v>31</v>
      </c>
      <c r="AG1" s="200">
        <v>32</v>
      </c>
      <c r="AH1" s="200">
        <v>33</v>
      </c>
      <c r="AI1" s="200">
        <v>34</v>
      </c>
      <c r="AJ1" s="200">
        <v>35</v>
      </c>
      <c r="AK1" s="200">
        <v>36</v>
      </c>
      <c r="AL1" s="200">
        <v>37</v>
      </c>
      <c r="AM1" s="200">
        <v>38</v>
      </c>
      <c r="AN1" s="200">
        <v>39</v>
      </c>
      <c r="AO1" s="200">
        <v>40</v>
      </c>
      <c r="AP1" s="200">
        <v>41</v>
      </c>
      <c r="AQ1" s="200">
        <v>42</v>
      </c>
      <c r="AR1" s="200">
        <v>43</v>
      </c>
      <c r="AS1" s="200">
        <v>44</v>
      </c>
      <c r="AT1" s="200">
        <v>45</v>
      </c>
      <c r="AU1" s="200">
        <v>46</v>
      </c>
      <c r="AV1" s="200">
        <v>47</v>
      </c>
      <c r="AW1" s="200">
        <v>48</v>
      </c>
      <c r="AX1" s="200">
        <v>49</v>
      </c>
      <c r="AY1" s="200">
        <v>50</v>
      </c>
      <c r="AZ1" s="200">
        <v>51</v>
      </c>
      <c r="BA1" s="200">
        <v>52</v>
      </c>
      <c r="BB1" s="200">
        <v>53</v>
      </c>
      <c r="BC1" s="200">
        <v>54</v>
      </c>
      <c r="BD1" s="200">
        <v>55</v>
      </c>
      <c r="BE1" s="200">
        <v>56</v>
      </c>
      <c r="BF1" s="200">
        <v>57</v>
      </c>
      <c r="BG1" s="200">
        <v>58</v>
      </c>
      <c r="BH1" s="200">
        <v>59</v>
      </c>
      <c r="BI1" s="200">
        <v>60</v>
      </c>
      <c r="BJ1" s="200">
        <v>61</v>
      </c>
      <c r="BK1" s="200">
        <v>62</v>
      </c>
      <c r="BL1" s="200">
        <v>63</v>
      </c>
      <c r="BM1" s="200">
        <v>64</v>
      </c>
      <c r="BN1" s="200">
        <v>65</v>
      </c>
      <c r="BO1" s="200">
        <v>66</v>
      </c>
      <c r="BP1" s="200">
        <v>67</v>
      </c>
      <c r="BQ1" s="200">
        <v>68</v>
      </c>
      <c r="BR1" s="200">
        <v>69</v>
      </c>
      <c r="BS1" s="200">
        <v>70</v>
      </c>
      <c r="BT1" s="200">
        <v>71</v>
      </c>
      <c r="BU1" s="200">
        <v>72</v>
      </c>
      <c r="BV1" s="200">
        <v>73</v>
      </c>
      <c r="BW1" s="200">
        <v>74</v>
      </c>
      <c r="BX1" s="200">
        <v>75</v>
      </c>
      <c r="BY1" s="200">
        <v>76</v>
      </c>
      <c r="BZ1" s="200">
        <v>77</v>
      </c>
      <c r="CA1" s="200">
        <v>78</v>
      </c>
      <c r="CB1" s="200">
        <v>79</v>
      </c>
      <c r="CC1" s="200">
        <v>80</v>
      </c>
      <c r="CD1" s="200">
        <v>81</v>
      </c>
      <c r="CE1" s="200">
        <v>82</v>
      </c>
      <c r="CF1" s="200">
        <v>83</v>
      </c>
      <c r="CG1" s="200">
        <v>84</v>
      </c>
      <c r="CH1" s="200">
        <v>85</v>
      </c>
      <c r="CI1" s="200">
        <v>86</v>
      </c>
      <c r="CJ1" s="200">
        <v>87</v>
      </c>
      <c r="CK1" s="200">
        <v>88</v>
      </c>
      <c r="CL1" s="200">
        <v>89</v>
      </c>
      <c r="CM1" s="200">
        <v>90</v>
      </c>
      <c r="CN1" s="200">
        <v>91</v>
      </c>
      <c r="CO1" s="200">
        <v>92</v>
      </c>
      <c r="CP1" s="200">
        <v>93</v>
      </c>
      <c r="CQ1" s="200">
        <v>94</v>
      </c>
      <c r="CR1" s="200">
        <v>95</v>
      </c>
      <c r="CS1" s="200">
        <v>96</v>
      </c>
      <c r="CT1" s="200">
        <v>97</v>
      </c>
    </row>
    <row r="2" spans="2:105" x14ac:dyDescent="0.25">
      <c r="B2" s="209"/>
      <c r="C2" s="209"/>
      <c r="D2" s="209"/>
      <c r="E2" s="434" t="s">
        <v>214</v>
      </c>
      <c r="F2" s="434"/>
      <c r="G2" s="434"/>
      <c r="H2" s="434"/>
      <c r="I2" s="434"/>
      <c r="J2" s="434"/>
      <c r="K2" s="434"/>
      <c r="L2" s="434"/>
      <c r="M2" s="434"/>
      <c r="N2" s="434"/>
      <c r="O2" s="434"/>
      <c r="P2" s="434"/>
      <c r="Q2" s="434"/>
      <c r="R2" s="434"/>
      <c r="S2" s="434"/>
      <c r="T2" s="434"/>
      <c r="U2" s="434"/>
      <c r="V2" s="434"/>
      <c r="W2" s="433" t="s">
        <v>213</v>
      </c>
      <c r="X2" s="433"/>
      <c r="Y2" s="433"/>
      <c r="Z2" s="433"/>
      <c r="AA2" s="433"/>
      <c r="AB2" s="433"/>
      <c r="AC2" s="433"/>
      <c r="AD2" s="433"/>
      <c r="AE2" s="433"/>
      <c r="AF2" s="426" t="s">
        <v>211</v>
      </c>
      <c r="AG2" s="427"/>
      <c r="AH2" s="427"/>
      <c r="AI2" s="427"/>
      <c r="AJ2" s="427"/>
      <c r="AK2" s="427"/>
      <c r="AL2" s="427"/>
      <c r="AM2" s="427"/>
      <c r="AN2" s="427"/>
      <c r="AO2" s="427"/>
      <c r="AP2" s="427"/>
      <c r="AQ2" s="427"/>
      <c r="AR2" s="427"/>
      <c r="AS2" s="427"/>
      <c r="AT2" s="427"/>
      <c r="AU2" s="427"/>
      <c r="AV2" s="427"/>
      <c r="AW2" s="428"/>
      <c r="AX2" s="430" t="s">
        <v>212</v>
      </c>
      <c r="AY2" s="431"/>
      <c r="AZ2" s="431"/>
      <c r="BA2" s="431"/>
      <c r="BB2" s="431"/>
      <c r="BC2" s="431"/>
      <c r="BD2" s="431"/>
      <c r="BE2" s="431"/>
      <c r="BF2" s="431"/>
      <c r="BG2" s="431"/>
      <c r="BH2" s="431"/>
      <c r="BI2" s="431"/>
      <c r="BJ2" s="431"/>
      <c r="BK2" s="431"/>
      <c r="BL2" s="431"/>
      <c r="BM2" s="431"/>
      <c r="BN2" s="431"/>
      <c r="BO2" s="432"/>
      <c r="BP2" s="426" t="s">
        <v>210</v>
      </c>
      <c r="BQ2" s="427"/>
      <c r="BR2" s="427"/>
      <c r="BS2" s="427"/>
      <c r="BT2" s="427"/>
      <c r="BU2" s="427"/>
      <c r="BV2" s="427"/>
      <c r="BW2" s="427"/>
      <c r="BX2" s="427"/>
      <c r="BY2" s="427"/>
      <c r="BZ2" s="427"/>
      <c r="CA2" s="427"/>
      <c r="CB2" s="427"/>
      <c r="CC2" s="427"/>
      <c r="CD2" s="427"/>
      <c r="CE2" s="427"/>
      <c r="CF2" s="427"/>
      <c r="CG2" s="428"/>
      <c r="CH2" s="430" t="s">
        <v>209</v>
      </c>
      <c r="CI2" s="431"/>
      <c r="CJ2" s="431"/>
      <c r="CK2" s="431"/>
      <c r="CL2" s="431"/>
      <c r="CM2" s="432"/>
      <c r="CN2" s="438" t="s">
        <v>267</v>
      </c>
      <c r="CO2" s="438"/>
      <c r="CP2" s="438"/>
      <c r="CQ2" s="438"/>
      <c r="CR2" s="435" t="s">
        <v>268</v>
      </c>
      <c r="CS2" s="435"/>
      <c r="CT2" s="435"/>
    </row>
    <row r="3" spans="2:105" x14ac:dyDescent="0.25">
      <c r="B3" s="210" t="s">
        <v>18</v>
      </c>
      <c r="C3" s="210" t="s">
        <v>27</v>
      </c>
      <c r="D3" s="210" t="s">
        <v>19</v>
      </c>
      <c r="E3" s="425" t="str">
        <f>Mata_Pelajaran!E4</f>
        <v>Agama</v>
      </c>
      <c r="F3" s="425"/>
      <c r="G3" s="425"/>
      <c r="H3" s="425" t="str">
        <f>Mata_Pelajaran!E5</f>
        <v>PPKn</v>
      </c>
      <c r="I3" s="425"/>
      <c r="J3" s="425"/>
      <c r="K3" s="425" t="str">
        <f>Mata_Pelajaran!E6</f>
        <v>B. Indonesia</v>
      </c>
      <c r="L3" s="425"/>
      <c r="M3" s="425"/>
      <c r="N3" s="425" t="str">
        <f>Mata_Pelajaran!E7</f>
        <v>Matematika</v>
      </c>
      <c r="O3" s="425"/>
      <c r="P3" s="425"/>
      <c r="Q3" s="425" t="str">
        <f>Mata_Pelajaran!E8</f>
        <v>Sejarah</v>
      </c>
      <c r="R3" s="425"/>
      <c r="S3" s="425"/>
      <c r="T3" s="425" t="str">
        <f>Mata_Pelajaran!E9</f>
        <v>B. Inggris</v>
      </c>
      <c r="U3" s="425"/>
      <c r="V3" s="425"/>
      <c r="W3" s="429" t="str">
        <f>Mata_Pelajaran!E11</f>
        <v>Senibud</v>
      </c>
      <c r="X3" s="429"/>
      <c r="Y3" s="429"/>
      <c r="Z3" s="429" t="str">
        <f>Mata_Pelajaran!E12</f>
        <v>PJOK</v>
      </c>
      <c r="AA3" s="429"/>
      <c r="AB3" s="429"/>
      <c r="AC3" s="429" t="str">
        <f>Mata_Pelajaran!E13</f>
        <v>PKWU</v>
      </c>
      <c r="AD3" s="429"/>
      <c r="AE3" s="429"/>
      <c r="AF3" s="425" t="str">
        <f>Mata_Pelajaran!E15</f>
        <v>Fisika</v>
      </c>
      <c r="AG3" s="425"/>
      <c r="AH3" s="425"/>
      <c r="AI3" s="425" t="str">
        <f>Mata_Pelajaran!E16</f>
        <v>Siskom</v>
      </c>
      <c r="AJ3" s="425"/>
      <c r="AK3" s="425"/>
      <c r="AL3" s="425">
        <f>Mata_Pelajaran!E17</f>
        <v>0</v>
      </c>
      <c r="AM3" s="425"/>
      <c r="AN3" s="425"/>
      <c r="AO3" s="425">
        <f>Mata_Pelajaran!E18</f>
        <v>0</v>
      </c>
      <c r="AP3" s="425"/>
      <c r="AQ3" s="425"/>
      <c r="AR3" s="425">
        <f>Mata_Pelajaran!E19</f>
        <v>0</v>
      </c>
      <c r="AS3" s="425"/>
      <c r="AT3" s="425"/>
      <c r="AU3" s="425">
        <f>Mata_Pelajaran!E20</f>
        <v>0</v>
      </c>
      <c r="AV3" s="425"/>
      <c r="AW3" s="425"/>
      <c r="AX3" s="429" t="str">
        <f>Mata_Pelajaran!E21</f>
        <v>KT</v>
      </c>
      <c r="AY3" s="429"/>
      <c r="AZ3" s="429"/>
      <c r="BA3" s="429" t="str">
        <f>Mata_Pelajaran!E22</f>
        <v>RBJ</v>
      </c>
      <c r="BB3" s="429"/>
      <c r="BC3" s="429"/>
      <c r="BD3" s="429" t="str">
        <f>Mata_Pelajaran!E23</f>
        <v>KD</v>
      </c>
      <c r="BE3" s="429"/>
      <c r="BF3" s="429"/>
      <c r="BG3" s="429" t="str">
        <f>Mata_Pelajaran!E24</f>
        <v>PD</v>
      </c>
      <c r="BH3" s="429"/>
      <c r="BI3" s="429"/>
      <c r="BJ3" s="429" t="str">
        <f>Mata_Pelajaran!E25</f>
        <v>AS</v>
      </c>
      <c r="BK3" s="429"/>
      <c r="BL3" s="429"/>
      <c r="BM3" s="429" t="str">
        <f>Mata_Pelajaran!E26</f>
        <v>SOJ</v>
      </c>
      <c r="BN3" s="429"/>
      <c r="BO3" s="429"/>
      <c r="BP3" s="425">
        <f>Mata_Pelajaran!E27</f>
        <v>0</v>
      </c>
      <c r="BQ3" s="425"/>
      <c r="BR3" s="425"/>
      <c r="BS3" s="425">
        <f>Mata_Pelajaran!E28</f>
        <v>0</v>
      </c>
      <c r="BT3" s="425"/>
      <c r="BU3" s="425"/>
      <c r="BV3" s="425">
        <f>Mata_Pelajaran!E29</f>
        <v>0</v>
      </c>
      <c r="BW3" s="425"/>
      <c r="BX3" s="425"/>
      <c r="BY3" s="425">
        <f>Mata_Pelajaran!E30</f>
        <v>0</v>
      </c>
      <c r="BZ3" s="425"/>
      <c r="CA3" s="425"/>
      <c r="CB3" s="425">
        <f>Mata_Pelajaran!E31</f>
        <v>0</v>
      </c>
      <c r="CC3" s="425"/>
      <c r="CD3" s="425"/>
      <c r="CE3" s="425">
        <f>Mata_Pelajaran!E32</f>
        <v>0</v>
      </c>
      <c r="CF3" s="425"/>
      <c r="CG3" s="425"/>
      <c r="CH3" s="422" t="str">
        <f>Mata_Pelajaran!E34</f>
        <v>PLH</v>
      </c>
      <c r="CI3" s="423"/>
      <c r="CJ3" s="424"/>
      <c r="CK3" s="422">
        <f>Mata_Pelajaran!E35</f>
        <v>0</v>
      </c>
      <c r="CL3" s="423"/>
      <c r="CM3" s="424"/>
      <c r="CN3" s="439" t="s">
        <v>255</v>
      </c>
      <c r="CO3" s="440"/>
      <c r="CP3" s="441" t="s">
        <v>256</v>
      </c>
      <c r="CQ3" s="442"/>
      <c r="CR3" s="436" t="s">
        <v>184</v>
      </c>
      <c r="CS3" s="436" t="s">
        <v>187</v>
      </c>
      <c r="CT3" s="436" t="s">
        <v>188</v>
      </c>
      <c r="CU3" s="175" t="s">
        <v>340</v>
      </c>
    </row>
    <row r="4" spans="2:105" x14ac:dyDescent="0.25">
      <c r="B4" s="211"/>
      <c r="C4" s="211"/>
      <c r="D4" s="211"/>
      <c r="E4" s="212" t="s">
        <v>182</v>
      </c>
      <c r="F4" s="213" t="s">
        <v>183</v>
      </c>
      <c r="G4" s="214" t="s">
        <v>184</v>
      </c>
      <c r="H4" s="212" t="s">
        <v>182</v>
      </c>
      <c r="I4" s="213" t="s">
        <v>183</v>
      </c>
      <c r="J4" s="214" t="s">
        <v>184</v>
      </c>
      <c r="K4" s="212" t="s">
        <v>182</v>
      </c>
      <c r="L4" s="213" t="s">
        <v>183</v>
      </c>
      <c r="M4" s="214" t="s">
        <v>184</v>
      </c>
      <c r="N4" s="212" t="s">
        <v>182</v>
      </c>
      <c r="O4" s="213" t="s">
        <v>183</v>
      </c>
      <c r="P4" s="214" t="s">
        <v>184</v>
      </c>
      <c r="Q4" s="212" t="s">
        <v>182</v>
      </c>
      <c r="R4" s="213" t="s">
        <v>183</v>
      </c>
      <c r="S4" s="214" t="s">
        <v>184</v>
      </c>
      <c r="T4" s="212" t="s">
        <v>182</v>
      </c>
      <c r="U4" s="213" t="s">
        <v>183</v>
      </c>
      <c r="V4" s="214" t="s">
        <v>184</v>
      </c>
      <c r="W4" s="212" t="s">
        <v>182</v>
      </c>
      <c r="X4" s="213" t="s">
        <v>183</v>
      </c>
      <c r="Y4" s="214" t="s">
        <v>184</v>
      </c>
      <c r="Z4" s="212" t="s">
        <v>182</v>
      </c>
      <c r="AA4" s="213" t="s">
        <v>183</v>
      </c>
      <c r="AB4" s="214" t="s">
        <v>184</v>
      </c>
      <c r="AC4" s="212" t="s">
        <v>182</v>
      </c>
      <c r="AD4" s="213" t="s">
        <v>183</v>
      </c>
      <c r="AE4" s="214" t="s">
        <v>184</v>
      </c>
      <c r="AF4" s="212" t="s">
        <v>182</v>
      </c>
      <c r="AG4" s="213" t="s">
        <v>183</v>
      </c>
      <c r="AH4" s="214" t="s">
        <v>184</v>
      </c>
      <c r="AI4" s="212" t="s">
        <v>182</v>
      </c>
      <c r="AJ4" s="213" t="s">
        <v>183</v>
      </c>
      <c r="AK4" s="214" t="s">
        <v>184</v>
      </c>
      <c r="AL4" s="212" t="s">
        <v>182</v>
      </c>
      <c r="AM4" s="213" t="s">
        <v>183</v>
      </c>
      <c r="AN4" s="214" t="s">
        <v>184</v>
      </c>
      <c r="AO4" s="212" t="s">
        <v>182</v>
      </c>
      <c r="AP4" s="213" t="s">
        <v>183</v>
      </c>
      <c r="AQ4" s="214" t="s">
        <v>184</v>
      </c>
      <c r="AR4" s="212" t="s">
        <v>182</v>
      </c>
      <c r="AS4" s="213" t="s">
        <v>183</v>
      </c>
      <c r="AT4" s="214" t="s">
        <v>184</v>
      </c>
      <c r="AU4" s="212" t="s">
        <v>182</v>
      </c>
      <c r="AV4" s="213" t="s">
        <v>183</v>
      </c>
      <c r="AW4" s="214" t="s">
        <v>184</v>
      </c>
      <c r="AX4" s="212" t="s">
        <v>182</v>
      </c>
      <c r="AY4" s="213" t="s">
        <v>183</v>
      </c>
      <c r="AZ4" s="214" t="s">
        <v>184</v>
      </c>
      <c r="BA4" s="212" t="s">
        <v>182</v>
      </c>
      <c r="BB4" s="213" t="s">
        <v>183</v>
      </c>
      <c r="BC4" s="214" t="s">
        <v>184</v>
      </c>
      <c r="BD4" s="212" t="s">
        <v>182</v>
      </c>
      <c r="BE4" s="213" t="s">
        <v>183</v>
      </c>
      <c r="BF4" s="214" t="s">
        <v>184</v>
      </c>
      <c r="BG4" s="212" t="s">
        <v>182</v>
      </c>
      <c r="BH4" s="213" t="s">
        <v>183</v>
      </c>
      <c r="BI4" s="214" t="s">
        <v>184</v>
      </c>
      <c r="BJ4" s="212" t="s">
        <v>182</v>
      </c>
      <c r="BK4" s="213" t="s">
        <v>183</v>
      </c>
      <c r="BL4" s="214" t="s">
        <v>184</v>
      </c>
      <c r="BM4" s="212" t="s">
        <v>182</v>
      </c>
      <c r="BN4" s="213" t="s">
        <v>183</v>
      </c>
      <c r="BO4" s="214" t="s">
        <v>184</v>
      </c>
      <c r="BP4" s="212" t="s">
        <v>182</v>
      </c>
      <c r="BQ4" s="213" t="s">
        <v>183</v>
      </c>
      <c r="BR4" s="214" t="s">
        <v>184</v>
      </c>
      <c r="BS4" s="212" t="s">
        <v>182</v>
      </c>
      <c r="BT4" s="213" t="s">
        <v>183</v>
      </c>
      <c r="BU4" s="214" t="s">
        <v>184</v>
      </c>
      <c r="BV4" s="212" t="s">
        <v>182</v>
      </c>
      <c r="BW4" s="213" t="s">
        <v>183</v>
      </c>
      <c r="BX4" s="214" t="s">
        <v>184</v>
      </c>
      <c r="BY4" s="212" t="s">
        <v>182</v>
      </c>
      <c r="BZ4" s="213" t="s">
        <v>183</v>
      </c>
      <c r="CA4" s="214" t="s">
        <v>184</v>
      </c>
      <c r="CB4" s="212" t="s">
        <v>182</v>
      </c>
      <c r="CC4" s="213" t="s">
        <v>183</v>
      </c>
      <c r="CD4" s="214" t="s">
        <v>184</v>
      </c>
      <c r="CE4" s="212" t="s">
        <v>182</v>
      </c>
      <c r="CF4" s="213" t="s">
        <v>183</v>
      </c>
      <c r="CG4" s="214" t="s">
        <v>184</v>
      </c>
      <c r="CH4" s="212" t="s">
        <v>182</v>
      </c>
      <c r="CI4" s="213" t="s">
        <v>183</v>
      </c>
      <c r="CJ4" s="214" t="s">
        <v>184</v>
      </c>
      <c r="CK4" s="215" t="s">
        <v>182</v>
      </c>
      <c r="CL4" s="216" t="s">
        <v>183</v>
      </c>
      <c r="CM4" s="217" t="s">
        <v>184</v>
      </c>
      <c r="CN4" s="243" t="s">
        <v>257</v>
      </c>
      <c r="CO4" s="242" t="s">
        <v>118</v>
      </c>
      <c r="CP4" s="243" t="s">
        <v>257</v>
      </c>
      <c r="CQ4" s="242" t="s">
        <v>118</v>
      </c>
      <c r="CR4" s="437"/>
      <c r="CS4" s="437"/>
      <c r="CT4" s="437"/>
      <c r="CU4" s="357" t="s">
        <v>341</v>
      </c>
      <c r="CY4" s="358" t="s">
        <v>182</v>
      </c>
      <c r="CZ4" s="358" t="s">
        <v>183</v>
      </c>
      <c r="DA4" s="136" t="s">
        <v>339</v>
      </c>
    </row>
    <row r="5" spans="2:105" x14ac:dyDescent="0.25">
      <c r="B5" s="218">
        <v>1</v>
      </c>
      <c r="C5" s="219" t="str">
        <f>Peserta_Didik!D3</f>
        <v>1314.10.107</v>
      </c>
      <c r="D5" s="220" t="str">
        <f>Peserta_Didik!C3</f>
        <v>Alfa Andeka Aerlangga</v>
      </c>
      <c r="E5" s="222">
        <v>3.1760000000000002</v>
      </c>
      <c r="F5" s="222">
        <v>3.36</v>
      </c>
      <c r="G5" s="223" t="s">
        <v>311</v>
      </c>
      <c r="H5" s="222">
        <v>3.04</v>
      </c>
      <c r="I5" s="222">
        <v>3</v>
      </c>
      <c r="J5" s="223" t="s">
        <v>311</v>
      </c>
      <c r="K5" s="222">
        <v>3.3360000000000003</v>
      </c>
      <c r="L5" s="222">
        <v>3.2</v>
      </c>
      <c r="M5" s="223" t="s">
        <v>311</v>
      </c>
      <c r="N5" s="222">
        <v>2.5107142857142857</v>
      </c>
      <c r="O5" s="222">
        <v>2.5725714285714285</v>
      </c>
      <c r="P5" s="223" t="s">
        <v>311</v>
      </c>
      <c r="Q5" s="222">
        <v>3.2719999999999998</v>
      </c>
      <c r="R5" s="222">
        <v>3.0666666666666669</v>
      </c>
      <c r="S5" s="223" t="s">
        <v>311</v>
      </c>
      <c r="T5" s="222">
        <v>3.2639999999999998</v>
      </c>
      <c r="U5" s="222">
        <v>3.2439999999999998</v>
      </c>
      <c r="V5" s="223" t="s">
        <v>311</v>
      </c>
      <c r="W5" s="222">
        <v>3.2160000000000002</v>
      </c>
      <c r="X5" s="222">
        <v>3.2160000000000002</v>
      </c>
      <c r="Y5" s="223" t="s">
        <v>311</v>
      </c>
      <c r="Z5" s="222">
        <v>3.04</v>
      </c>
      <c r="AA5" s="222">
        <v>3.1439999999999997</v>
      </c>
      <c r="AB5" s="223" t="s">
        <v>311</v>
      </c>
      <c r="AC5" s="222">
        <v>3.1919999999999997</v>
      </c>
      <c r="AD5" s="222">
        <v>3.24</v>
      </c>
      <c r="AE5" s="223" t="s">
        <v>311</v>
      </c>
      <c r="AF5" s="222">
        <v>2.7880000000000003</v>
      </c>
      <c r="AG5" s="222">
        <v>2.95</v>
      </c>
      <c r="AH5" s="223" t="s">
        <v>311</v>
      </c>
      <c r="AI5" s="222">
        <v>3.0632000000000001</v>
      </c>
      <c r="AJ5" s="222">
        <v>3.12</v>
      </c>
      <c r="AK5" s="223" t="s">
        <v>311</v>
      </c>
      <c r="AL5" s="223"/>
      <c r="AM5" s="222"/>
      <c r="AN5" s="223"/>
      <c r="AO5" s="223"/>
      <c r="AP5" s="223"/>
      <c r="AQ5" s="223"/>
      <c r="AR5" s="223"/>
      <c r="AS5" s="223"/>
      <c r="AT5" s="223"/>
      <c r="AU5" s="223"/>
      <c r="AV5" s="222"/>
      <c r="AW5" s="223"/>
      <c r="AX5" s="222">
        <v>3.04</v>
      </c>
      <c r="AY5" s="222">
        <v>3</v>
      </c>
      <c r="AZ5" s="223" t="s">
        <v>311</v>
      </c>
      <c r="BA5" s="222">
        <v>3.12</v>
      </c>
      <c r="BB5" s="222">
        <v>3.1520000000000006</v>
      </c>
      <c r="BC5" s="223" t="s">
        <v>311</v>
      </c>
      <c r="BD5" s="222">
        <v>3.036</v>
      </c>
      <c r="BE5" s="222">
        <v>3.1004</v>
      </c>
      <c r="BF5" s="223" t="s">
        <v>311</v>
      </c>
      <c r="BG5" s="222">
        <v>2.7466666666666661</v>
      </c>
      <c r="BH5" s="222">
        <v>2.7666666666666662</v>
      </c>
      <c r="BI5" s="223" t="s">
        <v>311</v>
      </c>
      <c r="BJ5" s="222">
        <v>2.76</v>
      </c>
      <c r="BK5" s="222">
        <v>2.85</v>
      </c>
      <c r="BL5" s="223" t="s">
        <v>311</v>
      </c>
      <c r="BM5" s="222">
        <v>3.1280000000000001</v>
      </c>
      <c r="BN5" s="222">
        <v>3.1880000000000002</v>
      </c>
      <c r="BO5" s="223" t="s">
        <v>311</v>
      </c>
      <c r="BP5" s="223"/>
      <c r="BQ5" s="222"/>
      <c r="BR5" s="223"/>
      <c r="BS5" s="223"/>
      <c r="BT5" s="222"/>
      <c r="BU5" s="223"/>
      <c r="BV5" s="223"/>
      <c r="BW5" s="222"/>
      <c r="BX5" s="223"/>
      <c r="BY5" s="223"/>
      <c r="BZ5" s="222"/>
      <c r="CA5" s="223"/>
      <c r="CB5" s="223"/>
      <c r="CC5" s="222"/>
      <c r="CD5" s="223"/>
      <c r="CE5" s="223"/>
      <c r="CF5" s="222"/>
      <c r="CG5" s="223"/>
      <c r="CH5" s="222">
        <v>3.3533333333333335</v>
      </c>
      <c r="CI5" s="222">
        <v>3.54</v>
      </c>
      <c r="CJ5" s="223" t="s">
        <v>311</v>
      </c>
      <c r="CK5" s="223"/>
      <c r="CL5" s="222"/>
      <c r="CM5" s="223"/>
      <c r="CN5" s="208"/>
      <c r="CO5" s="224"/>
      <c r="CP5" s="208"/>
      <c r="CQ5" s="224"/>
      <c r="CR5" s="93">
        <v>2</v>
      </c>
      <c r="CS5" s="93">
        <v>0</v>
      </c>
      <c r="CT5" s="227">
        <v>0</v>
      </c>
      <c r="CU5" s="356">
        <f>RANK(DA5,$DA$5:$DA$44)</f>
        <v>38</v>
      </c>
      <c r="CV5" s="244" t="s">
        <v>258</v>
      </c>
      <c r="CW5" s="244" t="s">
        <v>258</v>
      </c>
      <c r="CY5" s="360">
        <f>E5+H5+K5+N5+Q5+T5+W5+Z5+AC5+AF5+AI5+AL5+AO5+AR5+AU5+AX5+BA5+BD5+BG5+BJ5+BM5+BP5+BS5+BV5+BY5+CB5+CE5+CH5+CK5</f>
        <v>55.081914285714277</v>
      </c>
      <c r="CZ5" s="360">
        <f>F5+I5+L5+O5+R5+U5+X5+AA5+AD5+AG5+AJ5+AM5+AP5+AS5+AV5+AY5+BB5+BE5+BH5+BK5+BN5+BQ5+BT5+BW5+BZ5+CC5+CF5+CI5+CL5</f>
        <v>55.710304761904766</v>
      </c>
      <c r="DA5" s="359">
        <f>CY5+CZ5</f>
        <v>110.79221904761904</v>
      </c>
    </row>
    <row r="6" spans="2:105" x14ac:dyDescent="0.25">
      <c r="B6" s="218">
        <v>2</v>
      </c>
      <c r="C6" s="219" t="str">
        <f>Peserta_Didik!D4</f>
        <v>1314.10.108</v>
      </c>
      <c r="D6" s="220" t="str">
        <f>Peserta_Didik!C4</f>
        <v>Andi Setiawan</v>
      </c>
      <c r="E6" s="222">
        <v>3.7280000000000002</v>
      </c>
      <c r="F6" s="222">
        <v>3.6</v>
      </c>
      <c r="G6" s="223" t="s">
        <v>736</v>
      </c>
      <c r="H6" s="222">
        <v>3.68</v>
      </c>
      <c r="I6" s="222">
        <v>3.68</v>
      </c>
      <c r="J6" s="223" t="s">
        <v>736</v>
      </c>
      <c r="K6" s="222">
        <v>3.6960000000000002</v>
      </c>
      <c r="L6" s="222">
        <v>3.8</v>
      </c>
      <c r="M6" s="223" t="s">
        <v>736</v>
      </c>
      <c r="N6" s="222">
        <v>3.5371428571428574</v>
      </c>
      <c r="O6" s="222">
        <v>3.52</v>
      </c>
      <c r="P6" s="223" t="s">
        <v>736</v>
      </c>
      <c r="Q6" s="222">
        <v>3.4573333333333327</v>
      </c>
      <c r="R6" s="222">
        <v>3.5533333333333332</v>
      </c>
      <c r="S6" s="223" t="s">
        <v>311</v>
      </c>
      <c r="T6" s="222">
        <v>3.2639999999999998</v>
      </c>
      <c r="U6" s="222">
        <v>3.2439999999999998</v>
      </c>
      <c r="V6" s="223" t="s">
        <v>736</v>
      </c>
      <c r="W6" s="222">
        <v>3.5648</v>
      </c>
      <c r="X6" s="222">
        <v>3.5639999999999996</v>
      </c>
      <c r="Y6" s="223" t="s">
        <v>311</v>
      </c>
      <c r="Z6" s="222">
        <v>3.2</v>
      </c>
      <c r="AA6" s="222">
        <v>3.1239999999999997</v>
      </c>
      <c r="AB6" s="223" t="s">
        <v>311</v>
      </c>
      <c r="AC6" s="222">
        <v>3.3919999999999999</v>
      </c>
      <c r="AD6" s="222">
        <v>3.3</v>
      </c>
      <c r="AE6" s="223" t="s">
        <v>311</v>
      </c>
      <c r="AF6" s="222">
        <v>3.6710000000000003</v>
      </c>
      <c r="AG6" s="222">
        <v>3.68</v>
      </c>
      <c r="AH6" s="223" t="s">
        <v>736</v>
      </c>
      <c r="AI6" s="222">
        <v>3.2871999999999999</v>
      </c>
      <c r="AJ6" s="222">
        <v>3.2880000000000003</v>
      </c>
      <c r="AK6" s="223" t="s">
        <v>311</v>
      </c>
      <c r="AL6" s="223"/>
      <c r="AM6" s="222"/>
      <c r="AN6" s="223"/>
      <c r="AO6" s="223"/>
      <c r="AP6" s="223"/>
      <c r="AQ6" s="223"/>
      <c r="AR6" s="223"/>
      <c r="AS6" s="223"/>
      <c r="AT6" s="223"/>
      <c r="AU6" s="223"/>
      <c r="AV6" s="222"/>
      <c r="AW6" s="223"/>
      <c r="AX6" s="222">
        <v>3.464</v>
      </c>
      <c r="AY6" s="222">
        <v>3.4</v>
      </c>
      <c r="AZ6" s="223" t="s">
        <v>736</v>
      </c>
      <c r="BA6" s="222">
        <v>3.1879999999999997</v>
      </c>
      <c r="BB6" s="222">
        <v>3.2480000000000002</v>
      </c>
      <c r="BC6" s="223" t="s">
        <v>311</v>
      </c>
      <c r="BD6" s="222">
        <v>3.3339999999999996</v>
      </c>
      <c r="BE6" s="222">
        <v>3.5</v>
      </c>
      <c r="BF6" s="223" t="s">
        <v>736</v>
      </c>
      <c r="BG6" s="222">
        <v>3.2160000000000002</v>
      </c>
      <c r="BH6" s="222">
        <v>3.1</v>
      </c>
      <c r="BI6" s="223" t="s">
        <v>311</v>
      </c>
      <c r="BJ6" s="222">
        <v>3.2439999999999998</v>
      </c>
      <c r="BK6" s="222">
        <v>3.5</v>
      </c>
      <c r="BL6" s="223" t="s">
        <v>311</v>
      </c>
      <c r="BM6" s="222">
        <v>3.4679999999999995</v>
      </c>
      <c r="BN6" s="222">
        <v>3.3680000000000003</v>
      </c>
      <c r="BO6" s="223" t="s">
        <v>736</v>
      </c>
      <c r="BP6" s="223"/>
      <c r="BQ6" s="222"/>
      <c r="BR6" s="223"/>
      <c r="BS6" s="223"/>
      <c r="BT6" s="222"/>
      <c r="BU6" s="223"/>
      <c r="BV6" s="223"/>
      <c r="BW6" s="222"/>
      <c r="BX6" s="223"/>
      <c r="BY6" s="223"/>
      <c r="BZ6" s="222"/>
      <c r="CA6" s="223"/>
      <c r="CB6" s="223"/>
      <c r="CC6" s="222"/>
      <c r="CD6" s="223"/>
      <c r="CE6" s="223"/>
      <c r="CF6" s="222"/>
      <c r="CG6" s="223"/>
      <c r="CH6" s="222">
        <v>3.5266666666666664</v>
      </c>
      <c r="CI6" s="222">
        <v>3.54</v>
      </c>
      <c r="CJ6" s="223" t="s">
        <v>311</v>
      </c>
      <c r="CK6" s="223"/>
      <c r="CL6" s="222"/>
      <c r="CM6" s="223"/>
      <c r="CN6" s="208"/>
      <c r="CO6" s="224"/>
      <c r="CP6" s="208"/>
      <c r="CQ6" s="224"/>
      <c r="CR6" s="93">
        <v>0</v>
      </c>
      <c r="CS6" s="93">
        <v>0</v>
      </c>
      <c r="CT6" s="93">
        <v>0</v>
      </c>
      <c r="CU6" s="356">
        <f t="shared" ref="CU6:CU44" si="0">RANK(DA6,$DA$5:$DA$44)</f>
        <v>1</v>
      </c>
      <c r="CV6" s="175" t="str">
        <f>IF(Mata_Pelajaran!E38&lt;&gt;"",Mata_Pelajaran!E38,"")</f>
        <v>Pramuka</v>
      </c>
      <c r="CW6" s="175" t="str">
        <f>IF(Mata_Pelajaran!E41&lt;&gt;"",Mata_Pelajaran!E41,"")</f>
        <v>Karate</v>
      </c>
      <c r="CY6" s="360">
        <f t="shared" ref="CY6:CY44" si="1">E6+H6+K6+N6+Q6+T6+W6+Z6+AC6+AF6+AI6+AL6+AO6+AR6+AU6+AX6+BA6+BD6+BG6+BJ6+BM6+BP6+BS6+BV6+BY6+CB6+CE6+CH6+CK6</f>
        <v>61.918142857142847</v>
      </c>
      <c r="CZ6" s="360">
        <f t="shared" ref="CZ6:CZ44" si="2">F6+I6+L6+O6+R6+U6+X6+AA6+AD6+AG6+AJ6+AM6+AP6+AS6+AV6+AY6+BB6+BE6+BH6+BK6+BN6+BQ6+BT6+BW6+BZ6+CC6+CF6+CI6+CL6</f>
        <v>62.009333333333338</v>
      </c>
      <c r="DA6" s="359">
        <f t="shared" ref="DA6:DA44" si="3">CY6+CZ6</f>
        <v>123.92747619047618</v>
      </c>
    </row>
    <row r="7" spans="2:105" x14ac:dyDescent="0.25">
      <c r="B7" s="218">
        <v>3</v>
      </c>
      <c r="C7" s="219" t="str">
        <f>Peserta_Didik!D5</f>
        <v>1314.10.109</v>
      </c>
      <c r="D7" s="220" t="str">
        <f>Peserta_Didik!C5</f>
        <v>Andreas Rizki Rizaldi</v>
      </c>
      <c r="E7" s="222">
        <v>3.2880000000000003</v>
      </c>
      <c r="F7" s="222">
        <v>3.44</v>
      </c>
      <c r="G7" s="223" t="s">
        <v>311</v>
      </c>
      <c r="H7" s="222">
        <v>3.1439999999999997</v>
      </c>
      <c r="I7" s="222">
        <v>3.3</v>
      </c>
      <c r="J7" s="223" t="s">
        <v>311</v>
      </c>
      <c r="K7" s="222">
        <v>3.6719999999999997</v>
      </c>
      <c r="L7" s="222">
        <v>3.4</v>
      </c>
      <c r="M7" s="223" t="s">
        <v>736</v>
      </c>
      <c r="N7" s="222">
        <v>2.8364285714285713</v>
      </c>
      <c r="O7" s="222">
        <v>2.9478095238095237</v>
      </c>
      <c r="P7" s="223" t="s">
        <v>311</v>
      </c>
      <c r="Q7" s="222">
        <v>3.2159999999999997</v>
      </c>
      <c r="R7" s="222">
        <v>3.22</v>
      </c>
      <c r="S7" s="223" t="s">
        <v>311</v>
      </c>
      <c r="T7" s="222">
        <v>3.2639999999999998</v>
      </c>
      <c r="U7" s="222">
        <v>3.2439999999999998</v>
      </c>
      <c r="V7" s="223" t="s">
        <v>736</v>
      </c>
      <c r="W7" s="222">
        <v>3.2608000000000006</v>
      </c>
      <c r="X7" s="222">
        <v>3.28</v>
      </c>
      <c r="Y7" s="223" t="s">
        <v>311</v>
      </c>
      <c r="Z7" s="222">
        <v>3.28</v>
      </c>
      <c r="AA7" s="222">
        <v>3.38</v>
      </c>
      <c r="AB7" s="223" t="s">
        <v>311</v>
      </c>
      <c r="AC7" s="222">
        <v>3.2639999999999998</v>
      </c>
      <c r="AD7" s="222">
        <v>3.3</v>
      </c>
      <c r="AE7" s="223" t="s">
        <v>311</v>
      </c>
      <c r="AF7" s="222">
        <v>3.0920000000000001</v>
      </c>
      <c r="AG7" s="222">
        <v>3.05</v>
      </c>
      <c r="AH7" s="223" t="s">
        <v>311</v>
      </c>
      <c r="AI7" s="222">
        <v>3.2986</v>
      </c>
      <c r="AJ7" s="222">
        <v>3.2960000000000003</v>
      </c>
      <c r="AK7" s="223" t="s">
        <v>311</v>
      </c>
      <c r="AL7" s="223"/>
      <c r="AM7" s="222"/>
      <c r="AN7" s="223"/>
      <c r="AO7" s="223"/>
      <c r="AP7" s="223"/>
      <c r="AQ7" s="223"/>
      <c r="AR7" s="223"/>
      <c r="AS7" s="223"/>
      <c r="AT7" s="223"/>
      <c r="AU7" s="223"/>
      <c r="AV7" s="222"/>
      <c r="AW7" s="223"/>
      <c r="AX7" s="222">
        <v>3.1439999999999997</v>
      </c>
      <c r="AY7" s="222">
        <v>3.3</v>
      </c>
      <c r="AZ7" s="223" t="s">
        <v>311</v>
      </c>
      <c r="BA7" s="222">
        <v>3.2856000000000005</v>
      </c>
      <c r="BB7" s="222">
        <v>3.3280000000000003</v>
      </c>
      <c r="BC7" s="223" t="s">
        <v>311</v>
      </c>
      <c r="BD7" s="222">
        <v>3.2680000000000002</v>
      </c>
      <c r="BE7" s="222">
        <v>3.3868</v>
      </c>
      <c r="BF7" s="223" t="s">
        <v>311</v>
      </c>
      <c r="BG7" s="222">
        <v>3.2026666666666666</v>
      </c>
      <c r="BH7" s="222">
        <v>3.3266666666666662</v>
      </c>
      <c r="BI7" s="223" t="s">
        <v>311</v>
      </c>
      <c r="BJ7" s="222">
        <v>3.32</v>
      </c>
      <c r="BK7" s="222">
        <v>3.6</v>
      </c>
      <c r="BL7" s="223" t="s">
        <v>311</v>
      </c>
      <c r="BM7" s="222">
        <v>3.3879999999999995</v>
      </c>
      <c r="BN7" s="222">
        <v>3.4019999999999997</v>
      </c>
      <c r="BO7" s="223" t="s">
        <v>311</v>
      </c>
      <c r="BP7" s="223"/>
      <c r="BQ7" s="222"/>
      <c r="BR7" s="223"/>
      <c r="BS7" s="223"/>
      <c r="BT7" s="222"/>
      <c r="BU7" s="223"/>
      <c r="BV7" s="223"/>
      <c r="BW7" s="222"/>
      <c r="BX7" s="223"/>
      <c r="BY7" s="223"/>
      <c r="BZ7" s="222"/>
      <c r="CA7" s="223"/>
      <c r="CB7" s="223"/>
      <c r="CC7" s="222"/>
      <c r="CD7" s="223"/>
      <c r="CE7" s="223"/>
      <c r="CF7" s="222"/>
      <c r="CG7" s="223"/>
      <c r="CH7" s="222">
        <v>3.4066666666666663</v>
      </c>
      <c r="CI7" s="222">
        <v>3.7</v>
      </c>
      <c r="CJ7" s="223" t="s">
        <v>311</v>
      </c>
      <c r="CK7" s="223"/>
      <c r="CL7" s="222"/>
      <c r="CM7" s="223"/>
      <c r="CN7" s="208"/>
      <c r="CO7" s="224"/>
      <c r="CP7" s="208"/>
      <c r="CQ7" s="224"/>
      <c r="CR7" s="93">
        <v>3</v>
      </c>
      <c r="CS7" s="93">
        <v>1</v>
      </c>
      <c r="CT7" s="93">
        <v>0</v>
      </c>
      <c r="CU7" s="356">
        <f t="shared" si="0"/>
        <v>3</v>
      </c>
      <c r="CV7" s="175" t="str">
        <f>IF(Mata_Pelajaran!E39&lt;&gt;"",Mata_Pelajaran!E39,"")</f>
        <v>OSIS</v>
      </c>
      <c r="CW7" s="175" t="str">
        <f>IF(Mata_Pelajaran!E42&lt;&gt;"",Mata_Pelajaran!E42,"")</f>
        <v>PASKIBRA</v>
      </c>
      <c r="CY7" s="360">
        <f t="shared" si="1"/>
        <v>58.630761904761904</v>
      </c>
      <c r="CZ7" s="360">
        <f t="shared" si="2"/>
        <v>59.901276190476196</v>
      </c>
      <c r="DA7" s="359">
        <f t="shared" si="3"/>
        <v>118.53203809523811</v>
      </c>
    </row>
    <row r="8" spans="2:105" x14ac:dyDescent="0.25">
      <c r="B8" s="218">
        <v>4</v>
      </c>
      <c r="C8" s="219" t="str">
        <f>Peserta_Didik!D6</f>
        <v>1314.10.110</v>
      </c>
      <c r="D8" s="220" t="str">
        <f>Peserta_Didik!C6</f>
        <v>Arif Setya Permana</v>
      </c>
      <c r="E8" s="222">
        <v>3.2560000000000002</v>
      </c>
      <c r="F8" s="222">
        <v>3.34</v>
      </c>
      <c r="G8" s="223" t="s">
        <v>311</v>
      </c>
      <c r="H8" s="222">
        <v>3.32</v>
      </c>
      <c r="I8" s="222">
        <v>3.4</v>
      </c>
      <c r="J8" s="223" t="s">
        <v>311</v>
      </c>
      <c r="K8" s="222">
        <v>3.6719999999999997</v>
      </c>
      <c r="L8" s="222">
        <v>3.4</v>
      </c>
      <c r="M8" s="223" t="s">
        <v>311</v>
      </c>
      <c r="N8" s="222">
        <v>2.5314285714285716</v>
      </c>
      <c r="O8" s="222">
        <v>2.601142857142857</v>
      </c>
      <c r="P8" s="223" t="s">
        <v>311</v>
      </c>
      <c r="Q8" s="222">
        <v>3.0333333333333332</v>
      </c>
      <c r="R8" s="222">
        <v>3.2333333333333329</v>
      </c>
      <c r="S8" s="223" t="s">
        <v>311</v>
      </c>
      <c r="T8" s="222">
        <v>3.2640000000000002</v>
      </c>
      <c r="U8" s="222">
        <v>3.2439999999999998</v>
      </c>
      <c r="V8" s="223" t="s">
        <v>311</v>
      </c>
      <c r="W8" s="222">
        <v>3.2815999999999996</v>
      </c>
      <c r="X8" s="222">
        <v>3.2960000000000003</v>
      </c>
      <c r="Y8" s="223" t="s">
        <v>311</v>
      </c>
      <c r="Z8" s="222">
        <v>3.44</v>
      </c>
      <c r="AA8" s="222">
        <v>3.359</v>
      </c>
      <c r="AB8" s="223" t="s">
        <v>311</v>
      </c>
      <c r="AC8" s="222">
        <v>3.2</v>
      </c>
      <c r="AD8" s="222">
        <v>3.28</v>
      </c>
      <c r="AE8" s="223" t="s">
        <v>311</v>
      </c>
      <c r="AF8" s="222">
        <v>2.87</v>
      </c>
      <c r="AG8" s="222">
        <v>3.05</v>
      </c>
      <c r="AH8" s="223" t="s">
        <v>736</v>
      </c>
      <c r="AI8" s="222">
        <v>3.1360000000000001</v>
      </c>
      <c r="AJ8" s="222">
        <v>3.1920000000000006</v>
      </c>
      <c r="AK8" s="223" t="s">
        <v>311</v>
      </c>
      <c r="AL8" s="223"/>
      <c r="AM8" s="222"/>
      <c r="AN8" s="223"/>
      <c r="AO8" s="223"/>
      <c r="AP8" s="223"/>
      <c r="AQ8" s="223"/>
      <c r="AR8" s="223"/>
      <c r="AS8" s="223"/>
      <c r="AT8" s="223"/>
      <c r="AU8" s="223"/>
      <c r="AV8" s="222"/>
      <c r="AW8" s="223"/>
      <c r="AX8" s="222">
        <v>3.32</v>
      </c>
      <c r="AY8" s="222">
        <v>3.4</v>
      </c>
      <c r="AZ8" s="223" t="s">
        <v>311</v>
      </c>
      <c r="BA8" s="222">
        <v>3.1039999999999996</v>
      </c>
      <c r="BB8" s="222">
        <v>3.2080000000000002</v>
      </c>
      <c r="BC8" s="223" t="s">
        <v>311</v>
      </c>
      <c r="BD8" s="222">
        <v>3.2519999999999998</v>
      </c>
      <c r="BE8" s="222">
        <v>3.3043999999999998</v>
      </c>
      <c r="BF8" s="223" t="s">
        <v>311</v>
      </c>
      <c r="BG8" s="222">
        <v>3.0213333333333332</v>
      </c>
      <c r="BH8" s="222">
        <v>3.0133333333333336</v>
      </c>
      <c r="BI8" s="223" t="s">
        <v>311</v>
      </c>
      <c r="BJ8" s="222">
        <v>2.84</v>
      </c>
      <c r="BK8" s="222">
        <v>3</v>
      </c>
      <c r="BL8" s="223" t="s">
        <v>311</v>
      </c>
      <c r="BM8" s="222">
        <v>3.2080000000000002</v>
      </c>
      <c r="BN8" s="222">
        <v>3.2560000000000002</v>
      </c>
      <c r="BO8" s="223" t="s">
        <v>311</v>
      </c>
      <c r="BP8" s="223"/>
      <c r="BQ8" s="222"/>
      <c r="BR8" s="223"/>
      <c r="BS8" s="223"/>
      <c r="BT8" s="222"/>
      <c r="BU8" s="223"/>
      <c r="BV8" s="223"/>
      <c r="BW8" s="222"/>
      <c r="BX8" s="223"/>
      <c r="BY8" s="223"/>
      <c r="BZ8" s="222"/>
      <c r="CA8" s="223"/>
      <c r="CB8" s="223"/>
      <c r="CC8" s="222"/>
      <c r="CD8" s="223"/>
      <c r="CE8" s="223"/>
      <c r="CF8" s="222"/>
      <c r="CG8" s="223"/>
      <c r="CH8" s="222">
        <v>3.3866666666666663</v>
      </c>
      <c r="CI8" s="222">
        <v>3.54</v>
      </c>
      <c r="CJ8" s="223" t="s">
        <v>311</v>
      </c>
      <c r="CK8" s="223"/>
      <c r="CL8" s="222"/>
      <c r="CM8" s="223"/>
      <c r="CN8" s="208"/>
      <c r="CO8" s="224"/>
      <c r="CP8" s="208" t="s">
        <v>832</v>
      </c>
      <c r="CQ8" s="224" t="s">
        <v>188</v>
      </c>
      <c r="CR8" s="93">
        <v>1</v>
      </c>
      <c r="CS8" s="93">
        <v>1</v>
      </c>
      <c r="CT8" s="93">
        <v>0</v>
      </c>
      <c r="CU8" s="356">
        <f t="shared" si="0"/>
        <v>18</v>
      </c>
      <c r="CV8" s="175" t="str">
        <f>IF(Mata_Pelajaran!E40&lt;&gt;"",Mata_Pelajaran!E40,"")</f>
        <v>ESQ</v>
      </c>
      <c r="CW8" s="175" t="str">
        <f>IF(Mata_Pelajaran!E43&lt;&gt;"",Mata_Pelajaran!E43,"")</f>
        <v>Voly</v>
      </c>
      <c r="CY8" s="360">
        <f t="shared" si="1"/>
        <v>57.136361904761905</v>
      </c>
      <c r="CZ8" s="360">
        <f t="shared" si="2"/>
        <v>58.117209523809521</v>
      </c>
      <c r="DA8" s="359">
        <f t="shared" si="3"/>
        <v>115.25357142857143</v>
      </c>
    </row>
    <row r="9" spans="2:105" x14ac:dyDescent="0.25">
      <c r="B9" s="218">
        <v>5</v>
      </c>
      <c r="C9" s="219" t="str">
        <f>Peserta_Didik!D7</f>
        <v>1314.10.111</v>
      </c>
      <c r="D9" s="220" t="str">
        <f>Peserta_Didik!C7</f>
        <v>Cecep Solehudin</v>
      </c>
      <c r="E9" s="222">
        <v>3.3439999999999999</v>
      </c>
      <c r="F9" s="222">
        <v>3.36</v>
      </c>
      <c r="G9" s="223" t="s">
        <v>311</v>
      </c>
      <c r="H9" s="222">
        <v>3.2080000000000002</v>
      </c>
      <c r="I9" s="222">
        <v>3.39</v>
      </c>
      <c r="J9" s="223" t="s">
        <v>311</v>
      </c>
      <c r="K9" s="222">
        <v>3.6720000000000006</v>
      </c>
      <c r="L9" s="222">
        <v>3.4</v>
      </c>
      <c r="M9" s="223" t="s">
        <v>311</v>
      </c>
      <c r="N9" s="222">
        <v>2.9371428571428568</v>
      </c>
      <c r="O9" s="222">
        <v>3.0963809523809522</v>
      </c>
      <c r="P9" s="223" t="s">
        <v>311</v>
      </c>
      <c r="Q9" s="222">
        <v>3.3879999999999995</v>
      </c>
      <c r="R9" s="222">
        <v>3.3666666666666667</v>
      </c>
      <c r="S9" s="223" t="s">
        <v>311</v>
      </c>
      <c r="T9" s="222">
        <v>3.2640000000000002</v>
      </c>
      <c r="U9" s="222">
        <v>3.2439999999999998</v>
      </c>
      <c r="V9" s="223" t="s">
        <v>311</v>
      </c>
      <c r="W9" s="222">
        <v>3.2320000000000007</v>
      </c>
      <c r="X9" s="222">
        <v>3.2560000000000002</v>
      </c>
      <c r="Y9" s="223" t="s">
        <v>311</v>
      </c>
      <c r="Z9" s="222">
        <v>3.36</v>
      </c>
      <c r="AA9" s="222">
        <v>3.2789999999999999</v>
      </c>
      <c r="AB9" s="223" t="s">
        <v>311</v>
      </c>
      <c r="AC9" s="222">
        <v>3.2</v>
      </c>
      <c r="AD9" s="222">
        <v>3.28</v>
      </c>
      <c r="AE9" s="223" t="s">
        <v>311</v>
      </c>
      <c r="AF9" s="222">
        <v>2.891</v>
      </c>
      <c r="AG9" s="222">
        <v>3.05</v>
      </c>
      <c r="AH9" s="223" t="s">
        <v>311</v>
      </c>
      <c r="AI9" s="222">
        <v>3.2019999999999995</v>
      </c>
      <c r="AJ9" s="222">
        <v>3.2639999999999998</v>
      </c>
      <c r="AK9" s="223" t="s">
        <v>311</v>
      </c>
      <c r="AL9" s="223"/>
      <c r="AM9" s="222"/>
      <c r="AN9" s="223"/>
      <c r="AO9" s="223"/>
      <c r="AP9" s="223"/>
      <c r="AQ9" s="223"/>
      <c r="AR9" s="223"/>
      <c r="AS9" s="223"/>
      <c r="AT9" s="223"/>
      <c r="AU9" s="223"/>
      <c r="AV9" s="222"/>
      <c r="AW9" s="223"/>
      <c r="AX9" s="222">
        <v>3.2080000000000002</v>
      </c>
      <c r="AY9" s="222">
        <v>3.39</v>
      </c>
      <c r="AZ9" s="223" t="s">
        <v>311</v>
      </c>
      <c r="BA9" s="222">
        <v>3.2</v>
      </c>
      <c r="BB9" s="222">
        <v>3.24</v>
      </c>
      <c r="BC9" s="223" t="s">
        <v>311</v>
      </c>
      <c r="BD9" s="222">
        <v>3.1219999999999999</v>
      </c>
      <c r="BE9" s="222">
        <v>3.3892000000000002</v>
      </c>
      <c r="BF9" s="223" t="s">
        <v>736</v>
      </c>
      <c r="BG9" s="222">
        <v>3.0746666666666669</v>
      </c>
      <c r="BH9" s="222">
        <v>3.0466666666666664</v>
      </c>
      <c r="BI9" s="223" t="s">
        <v>311</v>
      </c>
      <c r="BJ9" s="222">
        <v>3</v>
      </c>
      <c r="BK9" s="222">
        <v>3.3</v>
      </c>
      <c r="BL9" s="223" t="s">
        <v>311</v>
      </c>
      <c r="BM9" s="222">
        <v>3.1880000000000002</v>
      </c>
      <c r="BN9" s="222">
        <v>3.3839999999999999</v>
      </c>
      <c r="BO9" s="223" t="s">
        <v>736</v>
      </c>
      <c r="BP9" s="223"/>
      <c r="BQ9" s="222"/>
      <c r="BR9" s="223"/>
      <c r="BS9" s="223"/>
      <c r="BT9" s="222"/>
      <c r="BU9" s="223"/>
      <c r="BV9" s="223"/>
      <c r="BW9" s="222"/>
      <c r="BX9" s="223"/>
      <c r="BY9" s="223"/>
      <c r="BZ9" s="222"/>
      <c r="CA9" s="223"/>
      <c r="CB9" s="223"/>
      <c r="CC9" s="222"/>
      <c r="CD9" s="223"/>
      <c r="CE9" s="223"/>
      <c r="CF9" s="222"/>
      <c r="CG9" s="223"/>
      <c r="CH9" s="222">
        <v>3.4466666666666663</v>
      </c>
      <c r="CI9" s="222">
        <v>3.54</v>
      </c>
      <c r="CJ9" s="223" t="s">
        <v>311</v>
      </c>
      <c r="CK9" s="223"/>
      <c r="CL9" s="222"/>
      <c r="CM9" s="223"/>
      <c r="CN9" s="208" t="s">
        <v>737</v>
      </c>
      <c r="CO9" s="224" t="s">
        <v>188</v>
      </c>
      <c r="CP9" s="208"/>
      <c r="CQ9" s="224"/>
      <c r="CR9" s="93">
        <v>1</v>
      </c>
      <c r="CS9" s="93">
        <v>0</v>
      </c>
      <c r="CT9" s="93">
        <v>0</v>
      </c>
      <c r="CU9" s="356">
        <f t="shared" si="0"/>
        <v>6</v>
      </c>
      <c r="CW9" s="175" t="str">
        <f>IF(Mata_Pelajaran!E44&lt;&gt;"",Mata_Pelajaran!E44,"")</f>
        <v>Basket</v>
      </c>
      <c r="CY9" s="360">
        <f t="shared" si="1"/>
        <v>57.937476190476183</v>
      </c>
      <c r="CZ9" s="360">
        <f t="shared" si="2"/>
        <v>59.275914285714293</v>
      </c>
      <c r="DA9" s="359">
        <f t="shared" si="3"/>
        <v>117.21339047619048</v>
      </c>
    </row>
    <row r="10" spans="2:105" x14ac:dyDescent="0.25">
      <c r="B10" s="218">
        <v>6</v>
      </c>
      <c r="C10" s="219" t="str">
        <f>Peserta_Didik!D8</f>
        <v>1314.10.112</v>
      </c>
      <c r="D10" s="220" t="str">
        <f>Peserta_Didik!C8</f>
        <v>Cepy Septiahadi</v>
      </c>
      <c r="E10" s="222">
        <v>3.36</v>
      </c>
      <c r="F10" s="222">
        <v>3.46</v>
      </c>
      <c r="G10" s="223" t="s">
        <v>311</v>
      </c>
      <c r="H10" s="222">
        <v>3.2</v>
      </c>
      <c r="I10" s="222">
        <v>3.4</v>
      </c>
      <c r="J10" s="223" t="s">
        <v>311</v>
      </c>
      <c r="K10" s="222">
        <v>3.3360000000000003</v>
      </c>
      <c r="L10" s="222">
        <v>3.4</v>
      </c>
      <c r="M10" s="223" t="s">
        <v>311</v>
      </c>
      <c r="N10" s="222">
        <v>2.6142857142857143</v>
      </c>
      <c r="O10" s="222">
        <v>2.6620952380952376</v>
      </c>
      <c r="P10" s="223" t="s">
        <v>311</v>
      </c>
      <c r="Q10" s="222">
        <v>3.0053333333333332</v>
      </c>
      <c r="R10" s="222">
        <v>3.1733333333333333</v>
      </c>
      <c r="S10" s="223" t="s">
        <v>311</v>
      </c>
      <c r="T10" s="222">
        <v>3.2640000000000002</v>
      </c>
      <c r="U10" s="222">
        <v>3.2439999999999998</v>
      </c>
      <c r="V10" s="223" t="s">
        <v>311</v>
      </c>
      <c r="W10" s="222">
        <v>3.24</v>
      </c>
      <c r="X10" s="222">
        <v>3.2760000000000002</v>
      </c>
      <c r="Y10" s="223" t="s">
        <v>311</v>
      </c>
      <c r="Z10" s="222">
        <v>3.04</v>
      </c>
      <c r="AA10" s="222">
        <v>3.0939999999999999</v>
      </c>
      <c r="AB10" s="223" t="s">
        <v>311</v>
      </c>
      <c r="AC10" s="222">
        <v>3.1919999999999997</v>
      </c>
      <c r="AD10" s="222">
        <v>3.24</v>
      </c>
      <c r="AE10" s="223" t="s">
        <v>311</v>
      </c>
      <c r="AF10" s="222">
        <v>2.8989999999999996</v>
      </c>
      <c r="AG10" s="222">
        <v>3.05</v>
      </c>
      <c r="AH10" s="223" t="s">
        <v>311</v>
      </c>
      <c r="AI10" s="222">
        <v>3.0269999999999997</v>
      </c>
      <c r="AJ10" s="222">
        <v>3.1439999999999997</v>
      </c>
      <c r="AK10" s="223" t="s">
        <v>311</v>
      </c>
      <c r="AL10" s="223"/>
      <c r="AM10" s="222"/>
      <c r="AN10" s="223"/>
      <c r="AO10" s="223"/>
      <c r="AP10" s="223"/>
      <c r="AQ10" s="223"/>
      <c r="AR10" s="223"/>
      <c r="AS10" s="223"/>
      <c r="AT10" s="223"/>
      <c r="AU10" s="223"/>
      <c r="AV10" s="222"/>
      <c r="AW10" s="223"/>
      <c r="AX10" s="222">
        <v>3.2</v>
      </c>
      <c r="AY10" s="222">
        <v>3.4</v>
      </c>
      <c r="AZ10" s="223" t="s">
        <v>311</v>
      </c>
      <c r="BA10" s="222">
        <v>3.0920000000000005</v>
      </c>
      <c r="BB10" s="222">
        <v>3.1280000000000001</v>
      </c>
      <c r="BC10" s="223" t="s">
        <v>311</v>
      </c>
      <c r="BD10" s="222">
        <v>3.2519999999999998</v>
      </c>
      <c r="BE10" s="222">
        <v>3.2532000000000001</v>
      </c>
      <c r="BF10" s="223" t="s">
        <v>311</v>
      </c>
      <c r="BG10" s="222">
        <v>2.9466666666666663</v>
      </c>
      <c r="BH10" s="222">
        <v>2.9666666666666663</v>
      </c>
      <c r="BI10" s="223" t="s">
        <v>311</v>
      </c>
      <c r="BJ10" s="222">
        <v>2.76</v>
      </c>
      <c r="BK10" s="222">
        <v>2.85</v>
      </c>
      <c r="BL10" s="223" t="s">
        <v>311</v>
      </c>
      <c r="BM10" s="222">
        <v>3.2080000000000002</v>
      </c>
      <c r="BN10" s="222">
        <v>3.2039999999999997</v>
      </c>
      <c r="BO10" s="223" t="s">
        <v>311</v>
      </c>
      <c r="BP10" s="223"/>
      <c r="BQ10" s="222"/>
      <c r="BR10" s="223"/>
      <c r="BS10" s="223"/>
      <c r="BT10" s="222"/>
      <c r="BU10" s="223"/>
      <c r="BV10" s="223"/>
      <c r="BW10" s="222"/>
      <c r="BX10" s="223"/>
      <c r="BY10" s="223"/>
      <c r="BZ10" s="222"/>
      <c r="CA10" s="223"/>
      <c r="CB10" s="223"/>
      <c r="CC10" s="222"/>
      <c r="CD10" s="223"/>
      <c r="CE10" s="223"/>
      <c r="CF10" s="222"/>
      <c r="CG10" s="223"/>
      <c r="CH10" s="222">
        <v>3.4266666666666663</v>
      </c>
      <c r="CI10" s="222">
        <v>3.64</v>
      </c>
      <c r="CJ10" s="223" t="s">
        <v>311</v>
      </c>
      <c r="CK10" s="223"/>
      <c r="CL10" s="222"/>
      <c r="CM10" s="223"/>
      <c r="CN10" s="208"/>
      <c r="CO10" s="224"/>
      <c r="CP10" s="208"/>
      <c r="CQ10" s="224"/>
      <c r="CR10" s="93">
        <v>4</v>
      </c>
      <c r="CS10" s="93">
        <v>1</v>
      </c>
      <c r="CT10" s="93">
        <v>8</v>
      </c>
      <c r="CU10" s="356">
        <f t="shared" si="0"/>
        <v>36</v>
      </c>
      <c r="CW10" s="175" t="str">
        <f>IF(Mata_Pelajaran!E45&lt;&gt;"",Mata_Pelajaran!E45,"")</f>
        <v>karawitan</v>
      </c>
      <c r="CY10" s="360">
        <f t="shared" si="1"/>
        <v>56.062952380952382</v>
      </c>
      <c r="CZ10" s="360">
        <f t="shared" si="2"/>
        <v>57.585295238095242</v>
      </c>
      <c r="DA10" s="359">
        <f t="shared" si="3"/>
        <v>113.64824761904762</v>
      </c>
    </row>
    <row r="11" spans="2:105" x14ac:dyDescent="0.25">
      <c r="B11" s="218">
        <v>7</v>
      </c>
      <c r="C11" s="219" t="str">
        <f>Peserta_Didik!D9</f>
        <v>1314.10.113</v>
      </c>
      <c r="D11" s="220" t="str">
        <f>Peserta_Didik!C9</f>
        <v>Chandra Khoerudin</v>
      </c>
      <c r="E11" s="222">
        <v>3.2639999999999998</v>
      </c>
      <c r="F11" s="222">
        <v>3.3</v>
      </c>
      <c r="G11" s="223" t="s">
        <v>311</v>
      </c>
      <c r="H11" s="222">
        <v>3.016</v>
      </c>
      <c r="I11" s="222">
        <v>3.35</v>
      </c>
      <c r="J11" s="223" t="s">
        <v>311</v>
      </c>
      <c r="K11" s="222">
        <v>3.3439999999999999</v>
      </c>
      <c r="L11" s="222">
        <v>3.2</v>
      </c>
      <c r="M11" s="223" t="s">
        <v>311</v>
      </c>
      <c r="N11" s="222">
        <v>3.3157142857142854</v>
      </c>
      <c r="O11" s="222">
        <v>3.3992380952380952</v>
      </c>
      <c r="P11" s="223" t="s">
        <v>311</v>
      </c>
      <c r="Q11" s="222">
        <v>3.1759999999999997</v>
      </c>
      <c r="R11" s="222">
        <v>3.16</v>
      </c>
      <c r="S11" s="223" t="s">
        <v>311</v>
      </c>
      <c r="T11" s="222">
        <v>3.2640000000000002</v>
      </c>
      <c r="U11" s="222">
        <v>3.2439999999999998</v>
      </c>
      <c r="V11" s="223" t="s">
        <v>311</v>
      </c>
      <c r="W11" s="222">
        <v>3.2063999999999999</v>
      </c>
      <c r="X11" s="222">
        <v>3.2439999999999998</v>
      </c>
      <c r="Y11" s="223" t="s">
        <v>311</v>
      </c>
      <c r="Z11" s="222">
        <v>3.04</v>
      </c>
      <c r="AA11" s="222">
        <v>3.2539999999999996</v>
      </c>
      <c r="AB11" s="223" t="s">
        <v>311</v>
      </c>
      <c r="AC11" s="222">
        <v>3.1919999999999997</v>
      </c>
      <c r="AD11" s="222">
        <v>3.24</v>
      </c>
      <c r="AE11" s="223" t="s">
        <v>311</v>
      </c>
      <c r="AF11" s="222">
        <v>2.883</v>
      </c>
      <c r="AG11" s="222">
        <v>3.05</v>
      </c>
      <c r="AH11" s="223" t="s">
        <v>311</v>
      </c>
      <c r="AI11" s="222">
        <v>3.1135999999999999</v>
      </c>
      <c r="AJ11" s="222">
        <v>3.1839999999999997</v>
      </c>
      <c r="AK11" s="223" t="s">
        <v>311</v>
      </c>
      <c r="AL11" s="223"/>
      <c r="AM11" s="222"/>
      <c r="AN11" s="223"/>
      <c r="AO11" s="223"/>
      <c r="AP11" s="223"/>
      <c r="AQ11" s="223"/>
      <c r="AR11" s="223"/>
      <c r="AS11" s="223"/>
      <c r="AT11" s="223"/>
      <c r="AU11" s="223"/>
      <c r="AV11" s="222"/>
      <c r="AW11" s="223"/>
      <c r="AX11" s="222">
        <v>3.016</v>
      </c>
      <c r="AY11" s="222">
        <v>3.35</v>
      </c>
      <c r="AZ11" s="223" t="s">
        <v>311</v>
      </c>
      <c r="BA11" s="222">
        <v>3.0720000000000001</v>
      </c>
      <c r="BB11" s="222">
        <v>3.2080000000000002</v>
      </c>
      <c r="BC11" s="223" t="s">
        <v>311</v>
      </c>
      <c r="BD11" s="222">
        <v>3.1120000000000001</v>
      </c>
      <c r="BE11" s="222">
        <v>3.1515999999999997</v>
      </c>
      <c r="BF11" s="223" t="s">
        <v>311</v>
      </c>
      <c r="BG11" s="222">
        <v>3</v>
      </c>
      <c r="BH11" s="222">
        <v>2.9</v>
      </c>
      <c r="BI11" s="223" t="s">
        <v>311</v>
      </c>
      <c r="BJ11" s="222">
        <v>2.92</v>
      </c>
      <c r="BK11" s="222">
        <v>3.05</v>
      </c>
      <c r="BL11" s="223" t="s">
        <v>311</v>
      </c>
      <c r="BM11" s="222">
        <v>3.2480000000000002</v>
      </c>
      <c r="BN11" s="222">
        <v>3.2880000000000003</v>
      </c>
      <c r="BO11" s="223" t="s">
        <v>311</v>
      </c>
      <c r="BP11" s="223"/>
      <c r="BQ11" s="222"/>
      <c r="BR11" s="223"/>
      <c r="BS11" s="223"/>
      <c r="BT11" s="222"/>
      <c r="BU11" s="223"/>
      <c r="BV11" s="223"/>
      <c r="BW11" s="222"/>
      <c r="BX11" s="223"/>
      <c r="BY11" s="223"/>
      <c r="BZ11" s="222"/>
      <c r="CA11" s="223"/>
      <c r="CB11" s="223"/>
      <c r="CC11" s="222"/>
      <c r="CD11" s="223"/>
      <c r="CE11" s="223"/>
      <c r="CF11" s="222"/>
      <c r="CG11" s="223"/>
      <c r="CH11" s="222">
        <v>3.4266666666666663</v>
      </c>
      <c r="CI11" s="222">
        <v>3.64</v>
      </c>
      <c r="CJ11" s="223" t="s">
        <v>311</v>
      </c>
      <c r="CK11" s="223"/>
      <c r="CL11" s="222"/>
      <c r="CM11" s="223"/>
      <c r="CN11" s="208"/>
      <c r="CO11" s="224"/>
      <c r="CP11" s="208"/>
      <c r="CQ11" s="224"/>
      <c r="CR11" s="93">
        <v>1</v>
      </c>
      <c r="CS11" s="93">
        <v>0</v>
      </c>
      <c r="CT11" s="93">
        <v>1</v>
      </c>
      <c r="CU11" s="356">
        <f t="shared" si="0"/>
        <v>23</v>
      </c>
      <c r="CW11" s="175" t="str">
        <f>IF(Mata_Pelajaran!E46&lt;&gt;"",Mata_Pelajaran!E46,"")</f>
        <v>Futsal</v>
      </c>
      <c r="CY11" s="360">
        <f t="shared" si="1"/>
        <v>56.609380952380953</v>
      </c>
      <c r="CZ11" s="360">
        <f t="shared" si="2"/>
        <v>58.212838095238084</v>
      </c>
      <c r="DA11" s="359">
        <f t="shared" si="3"/>
        <v>114.82221904761903</v>
      </c>
    </row>
    <row r="12" spans="2:105" x14ac:dyDescent="0.25">
      <c r="B12" s="218">
        <v>8</v>
      </c>
      <c r="C12" s="219" t="str">
        <f>Peserta_Didik!D10</f>
        <v>1314.10.114</v>
      </c>
      <c r="D12" s="220" t="str">
        <f>Peserta_Didik!C10</f>
        <v>Chepy Trisnandar</v>
      </c>
      <c r="E12" s="222">
        <v>3.3279999999999994</v>
      </c>
      <c r="F12" s="222">
        <v>3.5</v>
      </c>
      <c r="G12" s="223" t="s">
        <v>311</v>
      </c>
      <c r="H12" s="222">
        <v>3.2319999999999993</v>
      </c>
      <c r="I12" s="222">
        <v>3.34</v>
      </c>
      <c r="J12" s="223" t="s">
        <v>311</v>
      </c>
      <c r="K12" s="222">
        <v>3.3440000000000003</v>
      </c>
      <c r="L12" s="222">
        <v>3.8</v>
      </c>
      <c r="M12" s="223" t="s">
        <v>736</v>
      </c>
      <c r="N12" s="222">
        <v>2.9621428571428567</v>
      </c>
      <c r="O12" s="222">
        <v>3.0963809523809522</v>
      </c>
      <c r="P12" s="223" t="s">
        <v>311</v>
      </c>
      <c r="Q12" s="222">
        <v>3.0786666666666669</v>
      </c>
      <c r="R12" s="222">
        <v>3.1466666666666669</v>
      </c>
      <c r="S12" s="223" t="s">
        <v>311</v>
      </c>
      <c r="T12" s="222">
        <v>3.2640000000000002</v>
      </c>
      <c r="U12" s="222">
        <v>3.2439999999999998</v>
      </c>
      <c r="V12" s="223" t="s">
        <v>736</v>
      </c>
      <c r="W12" s="222">
        <v>3.3327999999999998</v>
      </c>
      <c r="X12" s="222">
        <v>3.2960000000000003</v>
      </c>
      <c r="Y12" s="223" t="s">
        <v>311</v>
      </c>
      <c r="Z12" s="222">
        <v>3.44</v>
      </c>
      <c r="AA12" s="222">
        <v>3.3889999999999998</v>
      </c>
      <c r="AB12" s="223" t="s">
        <v>311</v>
      </c>
      <c r="AC12" s="222">
        <v>3.2</v>
      </c>
      <c r="AD12" s="222">
        <v>3.28</v>
      </c>
      <c r="AE12" s="223" t="s">
        <v>311</v>
      </c>
      <c r="AF12" s="222">
        <v>2.9689999999999999</v>
      </c>
      <c r="AG12" s="222">
        <v>3.11</v>
      </c>
      <c r="AH12" s="223" t="s">
        <v>736</v>
      </c>
      <c r="AI12" s="222">
        <v>3.0651999999999999</v>
      </c>
      <c r="AJ12" s="222">
        <v>3.28</v>
      </c>
      <c r="AK12" s="223" t="s">
        <v>311</v>
      </c>
      <c r="AL12" s="223"/>
      <c r="AM12" s="222"/>
      <c r="AN12" s="223"/>
      <c r="AO12" s="223"/>
      <c r="AP12" s="223"/>
      <c r="AQ12" s="223"/>
      <c r="AR12" s="223"/>
      <c r="AS12" s="223"/>
      <c r="AT12" s="223"/>
      <c r="AU12" s="223"/>
      <c r="AV12" s="222"/>
      <c r="AW12" s="223"/>
      <c r="AX12" s="222">
        <v>3.2319999999999993</v>
      </c>
      <c r="AY12" s="222">
        <v>3.34</v>
      </c>
      <c r="AZ12" s="223" t="s">
        <v>311</v>
      </c>
      <c r="BA12" s="222">
        <v>3.1282000000000001</v>
      </c>
      <c r="BB12" s="222">
        <v>3.2</v>
      </c>
      <c r="BC12" s="223" t="s">
        <v>311</v>
      </c>
      <c r="BD12" s="222">
        <v>3.2719999999999998</v>
      </c>
      <c r="BE12" s="222">
        <v>3.3127999999999997</v>
      </c>
      <c r="BF12" s="223" t="s">
        <v>736</v>
      </c>
      <c r="BG12" s="222">
        <v>3.0453333333333332</v>
      </c>
      <c r="BH12" s="222">
        <v>3.1133333333333337</v>
      </c>
      <c r="BI12" s="223" t="s">
        <v>311</v>
      </c>
      <c r="BJ12" s="222">
        <v>3</v>
      </c>
      <c r="BK12" s="222">
        <v>3.2</v>
      </c>
      <c r="BL12" s="223" t="s">
        <v>311</v>
      </c>
      <c r="BM12" s="222">
        <v>3.1280000000000001</v>
      </c>
      <c r="BN12" s="222">
        <v>3.3280000000000003</v>
      </c>
      <c r="BO12" s="223" t="s">
        <v>736</v>
      </c>
      <c r="BP12" s="223"/>
      <c r="BQ12" s="222"/>
      <c r="BR12" s="223"/>
      <c r="BS12" s="223"/>
      <c r="BT12" s="222"/>
      <c r="BU12" s="223"/>
      <c r="BV12" s="223"/>
      <c r="BW12" s="222"/>
      <c r="BX12" s="223"/>
      <c r="BY12" s="223"/>
      <c r="BZ12" s="222"/>
      <c r="CA12" s="223"/>
      <c r="CB12" s="223"/>
      <c r="CC12" s="222"/>
      <c r="CD12" s="223"/>
      <c r="CE12" s="223"/>
      <c r="CF12" s="222"/>
      <c r="CG12" s="223"/>
      <c r="CH12" s="222">
        <v>3.4666666666666663</v>
      </c>
      <c r="CI12" s="222">
        <v>3.7</v>
      </c>
      <c r="CJ12" s="223" t="s">
        <v>311</v>
      </c>
      <c r="CK12" s="223"/>
      <c r="CL12" s="222"/>
      <c r="CM12" s="223"/>
      <c r="CN12" s="208" t="s">
        <v>737</v>
      </c>
      <c r="CO12" s="224" t="s">
        <v>188</v>
      </c>
      <c r="CP12" s="208"/>
      <c r="CQ12" s="224"/>
      <c r="CR12" s="93">
        <v>0</v>
      </c>
      <c r="CS12" s="93">
        <v>2</v>
      </c>
      <c r="CT12" s="93">
        <v>0</v>
      </c>
      <c r="CU12" s="356">
        <f t="shared" si="0"/>
        <v>7</v>
      </c>
      <c r="CW12" s="175" t="str">
        <f>IF(Mata_Pelajaran!E47&lt;&gt;"",Mata_Pelajaran!E47,"")</f>
        <v>Tenis Meja</v>
      </c>
      <c r="CY12" s="360">
        <f t="shared" si="1"/>
        <v>57.488009523809517</v>
      </c>
      <c r="CZ12" s="360">
        <f t="shared" si="2"/>
        <v>59.676180952380975</v>
      </c>
      <c r="DA12" s="359">
        <f t="shared" si="3"/>
        <v>117.1641904761905</v>
      </c>
    </row>
    <row r="13" spans="2:105" x14ac:dyDescent="0.25">
      <c r="B13" s="218">
        <v>9</v>
      </c>
      <c r="C13" s="219" t="str">
        <f>Peserta_Didik!D11</f>
        <v>1314.10.115</v>
      </c>
      <c r="D13" s="220" t="str">
        <f>Peserta_Didik!C11</f>
        <v>Dinda Prastiwi</v>
      </c>
      <c r="E13" s="222">
        <v>3.48</v>
      </c>
      <c r="F13" s="222">
        <v>3.52</v>
      </c>
      <c r="G13" s="223" t="s">
        <v>311</v>
      </c>
      <c r="H13" s="222">
        <v>3.2960000000000003</v>
      </c>
      <c r="I13" s="222">
        <v>3.4</v>
      </c>
      <c r="J13" s="223" t="s">
        <v>311</v>
      </c>
      <c r="K13" s="222">
        <v>3.6719999999999997</v>
      </c>
      <c r="L13" s="222">
        <v>3.8</v>
      </c>
      <c r="M13" s="223" t="s">
        <v>736</v>
      </c>
      <c r="N13" s="222">
        <v>2.5860000000000003</v>
      </c>
      <c r="O13" s="222">
        <v>2.68</v>
      </c>
      <c r="P13" s="223" t="s">
        <v>311</v>
      </c>
      <c r="Q13" s="222">
        <v>3.1039999999999996</v>
      </c>
      <c r="R13" s="222">
        <v>3.2</v>
      </c>
      <c r="S13" s="223" t="s">
        <v>311</v>
      </c>
      <c r="T13" s="222">
        <v>3.2640000000000002</v>
      </c>
      <c r="U13" s="222">
        <v>3.2439999999999998</v>
      </c>
      <c r="V13" s="223" t="s">
        <v>736</v>
      </c>
      <c r="W13" s="222">
        <v>3.3024</v>
      </c>
      <c r="X13" s="222">
        <v>3.3</v>
      </c>
      <c r="Y13" s="223" t="s">
        <v>311</v>
      </c>
      <c r="Z13" s="222">
        <v>3.28</v>
      </c>
      <c r="AA13" s="222">
        <v>3.1289999999999996</v>
      </c>
      <c r="AB13" s="223" t="s">
        <v>311</v>
      </c>
      <c r="AC13" s="222">
        <v>3.2639999999999998</v>
      </c>
      <c r="AD13" s="222">
        <v>3.3</v>
      </c>
      <c r="AE13" s="223" t="s">
        <v>311</v>
      </c>
      <c r="AF13" s="222">
        <v>3.2149999999999999</v>
      </c>
      <c r="AG13" s="222">
        <v>3.2</v>
      </c>
      <c r="AH13" s="223" t="s">
        <v>736</v>
      </c>
      <c r="AI13" s="222">
        <v>3.0746000000000002</v>
      </c>
      <c r="AJ13" s="222">
        <v>3.1680000000000001</v>
      </c>
      <c r="AK13" s="223" t="s">
        <v>311</v>
      </c>
      <c r="AL13" s="223"/>
      <c r="AM13" s="222"/>
      <c r="AN13" s="223"/>
      <c r="AO13" s="223"/>
      <c r="AP13" s="223"/>
      <c r="AQ13" s="223"/>
      <c r="AR13" s="223"/>
      <c r="AS13" s="223"/>
      <c r="AT13" s="223"/>
      <c r="AU13" s="223"/>
      <c r="AV13" s="222"/>
      <c r="AW13" s="223"/>
      <c r="AX13" s="222">
        <v>3.2960000000000003</v>
      </c>
      <c r="AY13" s="222">
        <v>3.4</v>
      </c>
      <c r="AZ13" s="223" t="s">
        <v>311</v>
      </c>
      <c r="BA13" s="222">
        <v>3.0679999999999996</v>
      </c>
      <c r="BB13" s="222">
        <v>3.1839999999999997</v>
      </c>
      <c r="BC13" s="223" t="s">
        <v>311</v>
      </c>
      <c r="BD13" s="222">
        <v>3.1519999999999997</v>
      </c>
      <c r="BE13" s="222">
        <v>3.2508000000000004</v>
      </c>
      <c r="BF13" s="223" t="s">
        <v>311</v>
      </c>
      <c r="BG13" s="222">
        <v>2.9466666666666663</v>
      </c>
      <c r="BH13" s="222">
        <v>2.9666666666666663</v>
      </c>
      <c r="BI13" s="223" t="s">
        <v>311</v>
      </c>
      <c r="BJ13" s="222">
        <v>2.84</v>
      </c>
      <c r="BK13" s="222">
        <v>3</v>
      </c>
      <c r="BL13" s="223" t="s">
        <v>311</v>
      </c>
      <c r="BM13" s="222">
        <v>3.1120000000000001</v>
      </c>
      <c r="BN13" s="222">
        <v>3.3160000000000003</v>
      </c>
      <c r="BO13" s="223" t="s">
        <v>311</v>
      </c>
      <c r="BP13" s="223"/>
      <c r="BQ13" s="222"/>
      <c r="BR13" s="223"/>
      <c r="BS13" s="223"/>
      <c r="BT13" s="222"/>
      <c r="BU13" s="223"/>
      <c r="BV13" s="223"/>
      <c r="BW13" s="222"/>
      <c r="BX13" s="223"/>
      <c r="BY13" s="223"/>
      <c r="BZ13" s="222"/>
      <c r="CA13" s="223"/>
      <c r="CB13" s="223"/>
      <c r="CC13" s="222"/>
      <c r="CD13" s="223"/>
      <c r="CE13" s="223"/>
      <c r="CF13" s="222"/>
      <c r="CG13" s="223"/>
      <c r="CH13" s="222">
        <v>3.5066666666666664</v>
      </c>
      <c r="CI13" s="222">
        <v>3.54</v>
      </c>
      <c r="CJ13" s="223" t="s">
        <v>311</v>
      </c>
      <c r="CK13" s="223"/>
      <c r="CL13" s="222"/>
      <c r="CM13" s="223"/>
      <c r="CN13" s="208" t="s">
        <v>258</v>
      </c>
      <c r="CO13" s="224"/>
      <c r="CP13" s="208"/>
      <c r="CQ13" s="224"/>
      <c r="CR13" s="93">
        <v>1</v>
      </c>
      <c r="CS13" s="93">
        <v>1</v>
      </c>
      <c r="CT13" s="93">
        <v>0</v>
      </c>
      <c r="CU13" s="356">
        <f t="shared" si="0"/>
        <v>13</v>
      </c>
      <c r="CW13" s="175" t="str">
        <f>IF(Mata_Pelajaran!E48&lt;&gt;"",Mata_Pelajaran!E48,"")</f>
        <v>Tonti</v>
      </c>
      <c r="CY13" s="360">
        <f t="shared" si="1"/>
        <v>57.459333333333333</v>
      </c>
      <c r="CZ13" s="360">
        <f t="shared" si="2"/>
        <v>58.59846666666666</v>
      </c>
      <c r="DA13" s="359">
        <f t="shared" si="3"/>
        <v>116.05779999999999</v>
      </c>
    </row>
    <row r="14" spans="2:105" x14ac:dyDescent="0.25">
      <c r="B14" s="218">
        <v>10</v>
      </c>
      <c r="C14" s="219" t="str">
        <f>Peserta_Didik!D12</f>
        <v>1314.10.116</v>
      </c>
      <c r="D14" s="220" t="str">
        <f>Peserta_Didik!C12</f>
        <v>Dwiki Pratama Suherman</v>
      </c>
      <c r="E14" s="222">
        <v>3.2720000000000002</v>
      </c>
      <c r="F14" s="222">
        <v>3.44</v>
      </c>
      <c r="G14" s="223" t="s">
        <v>311</v>
      </c>
      <c r="H14" s="222">
        <v>3.1919999999999997</v>
      </c>
      <c r="I14" s="222">
        <v>3.39</v>
      </c>
      <c r="J14" s="223" t="s">
        <v>311</v>
      </c>
      <c r="K14" s="222">
        <v>3.3359999999999999</v>
      </c>
      <c r="L14" s="222">
        <v>3.4</v>
      </c>
      <c r="M14" s="223" t="s">
        <v>311</v>
      </c>
      <c r="N14" s="222">
        <v>2.5098571428571428</v>
      </c>
      <c r="O14" s="222">
        <v>2.5302857142857142</v>
      </c>
      <c r="P14" s="223" t="s">
        <v>311</v>
      </c>
      <c r="Q14" s="222">
        <v>3.0293333333333328</v>
      </c>
      <c r="R14" s="222">
        <v>3.08</v>
      </c>
      <c r="S14" s="223" t="s">
        <v>311</v>
      </c>
      <c r="T14" s="222">
        <v>3.2639999999999998</v>
      </c>
      <c r="U14" s="222">
        <v>3.2439999999999998</v>
      </c>
      <c r="V14" s="223" t="s">
        <v>311</v>
      </c>
      <c r="W14" s="222">
        <v>3.2911999999999999</v>
      </c>
      <c r="X14" s="222">
        <v>3.2719999999999998</v>
      </c>
      <c r="Y14" s="223" t="s">
        <v>311</v>
      </c>
      <c r="Z14" s="222">
        <v>3.04</v>
      </c>
      <c r="AA14" s="222">
        <v>3.383</v>
      </c>
      <c r="AB14" s="223" t="s">
        <v>311</v>
      </c>
      <c r="AC14" s="222">
        <v>3.2</v>
      </c>
      <c r="AD14" s="222">
        <v>3.28</v>
      </c>
      <c r="AE14" s="223" t="s">
        <v>736</v>
      </c>
      <c r="AF14" s="222">
        <v>2.91</v>
      </c>
      <c r="AG14" s="222">
        <v>3.1</v>
      </c>
      <c r="AH14" s="223" t="s">
        <v>311</v>
      </c>
      <c r="AI14" s="222">
        <v>3.1456000000000004</v>
      </c>
      <c r="AJ14" s="222">
        <v>3.2239999999999998</v>
      </c>
      <c r="AK14" s="223" t="s">
        <v>311</v>
      </c>
      <c r="AL14" s="223"/>
      <c r="AM14" s="222"/>
      <c r="AN14" s="223"/>
      <c r="AO14" s="223"/>
      <c r="AP14" s="223"/>
      <c r="AQ14" s="223"/>
      <c r="AR14" s="223"/>
      <c r="AS14" s="223"/>
      <c r="AT14" s="223"/>
      <c r="AU14" s="223"/>
      <c r="AV14" s="222"/>
      <c r="AW14" s="223"/>
      <c r="AX14" s="222">
        <v>3.1919999999999997</v>
      </c>
      <c r="AY14" s="222">
        <v>3.39</v>
      </c>
      <c r="AZ14" s="223" t="s">
        <v>311</v>
      </c>
      <c r="BA14" s="222">
        <v>3.1919999999999997</v>
      </c>
      <c r="BB14" s="222">
        <v>3.2560000000000002</v>
      </c>
      <c r="BC14" s="223" t="s">
        <v>311</v>
      </c>
      <c r="BD14" s="222">
        <v>3.2319999999999998</v>
      </c>
      <c r="BE14" s="222">
        <v>3.2251999999999996</v>
      </c>
      <c r="BF14" s="223" t="s">
        <v>311</v>
      </c>
      <c r="BG14" s="222">
        <v>3.0666666666666664</v>
      </c>
      <c r="BH14" s="222">
        <v>2.9666666666666663</v>
      </c>
      <c r="BI14" s="223" t="s">
        <v>311</v>
      </c>
      <c r="BJ14" s="222">
        <v>3</v>
      </c>
      <c r="BK14" s="222">
        <v>3.4</v>
      </c>
      <c r="BL14" s="223" t="s">
        <v>311</v>
      </c>
      <c r="BM14" s="222">
        <v>3.1880000000000002</v>
      </c>
      <c r="BN14" s="222">
        <v>3.3339999999999996</v>
      </c>
      <c r="BO14" s="223" t="s">
        <v>311</v>
      </c>
      <c r="BP14" s="223"/>
      <c r="BQ14" s="222"/>
      <c r="BR14" s="223"/>
      <c r="BS14" s="223"/>
      <c r="BT14" s="222"/>
      <c r="BU14" s="223"/>
      <c r="BV14" s="223"/>
      <c r="BW14" s="222"/>
      <c r="BX14" s="223"/>
      <c r="BY14" s="223"/>
      <c r="BZ14" s="222"/>
      <c r="CA14" s="223"/>
      <c r="CB14" s="223"/>
      <c r="CC14" s="222"/>
      <c r="CD14" s="223"/>
      <c r="CE14" s="223"/>
      <c r="CF14" s="222"/>
      <c r="CG14" s="223"/>
      <c r="CH14" s="222">
        <v>3.4533333333333336</v>
      </c>
      <c r="CI14" s="222">
        <v>3.54</v>
      </c>
      <c r="CJ14" s="223" t="s">
        <v>311</v>
      </c>
      <c r="CK14" s="223"/>
      <c r="CL14" s="222"/>
      <c r="CM14" s="223"/>
      <c r="CN14" s="208" t="s">
        <v>258</v>
      </c>
      <c r="CO14" s="224"/>
      <c r="CP14" s="208"/>
      <c r="CQ14" s="224"/>
      <c r="CR14" s="93">
        <v>2</v>
      </c>
      <c r="CS14" s="93">
        <v>1</v>
      </c>
      <c r="CT14" s="93">
        <v>0</v>
      </c>
      <c r="CU14" s="356">
        <f t="shared" si="0"/>
        <v>20</v>
      </c>
      <c r="CW14" s="175" t="str">
        <f>IF(Mata_Pelajaran!E49&lt;&gt;"",Mata_Pelajaran!E49,"")</f>
        <v>Patroli Sekolah</v>
      </c>
      <c r="CY14" s="360">
        <f t="shared" si="1"/>
        <v>56.513990476190472</v>
      </c>
      <c r="CZ14" s="360">
        <f t="shared" si="2"/>
        <v>58.455152380952377</v>
      </c>
      <c r="DA14" s="359">
        <f t="shared" si="3"/>
        <v>114.96914285714286</v>
      </c>
    </row>
    <row r="15" spans="2:105" x14ac:dyDescent="0.25">
      <c r="B15" s="218">
        <v>11</v>
      </c>
      <c r="C15" s="219" t="str">
        <f>Peserta_Didik!D13</f>
        <v>1314.10.117</v>
      </c>
      <c r="D15" s="220" t="str">
        <f>Peserta_Didik!C13</f>
        <v>Erry Nur Azhari</v>
      </c>
      <c r="E15" s="222">
        <v>3.3759999999999994</v>
      </c>
      <c r="F15" s="222">
        <v>3.42</v>
      </c>
      <c r="G15" s="223" t="s">
        <v>311</v>
      </c>
      <c r="H15" s="222">
        <v>3.3919999999999999</v>
      </c>
      <c r="I15" s="222">
        <v>3.35</v>
      </c>
      <c r="J15" s="223" t="s">
        <v>311</v>
      </c>
      <c r="K15" s="222">
        <v>3.6719999999999997</v>
      </c>
      <c r="L15" s="222">
        <v>3.2</v>
      </c>
      <c r="M15" s="223" t="s">
        <v>311</v>
      </c>
      <c r="N15" s="222">
        <v>2.5344285714285717</v>
      </c>
      <c r="O15" s="222">
        <v>2.609142857142857</v>
      </c>
      <c r="P15" s="223" t="s">
        <v>311</v>
      </c>
      <c r="Q15" s="222">
        <v>3.1226666666666665</v>
      </c>
      <c r="R15" s="222">
        <v>3.1933333333333334</v>
      </c>
      <c r="S15" s="223" t="s">
        <v>311</v>
      </c>
      <c r="T15" s="222">
        <v>3.2639999999999998</v>
      </c>
      <c r="U15" s="222">
        <v>3.2439999999999998</v>
      </c>
      <c r="V15" s="223" t="s">
        <v>311</v>
      </c>
      <c r="W15" s="222">
        <v>3.3039999999999998</v>
      </c>
      <c r="X15" s="222">
        <v>3.2480000000000002</v>
      </c>
      <c r="Y15" s="223" t="s">
        <v>311</v>
      </c>
      <c r="Z15" s="222">
        <v>3.12</v>
      </c>
      <c r="AA15" s="222">
        <v>3.1039999999999996</v>
      </c>
      <c r="AB15" s="223" t="s">
        <v>311</v>
      </c>
      <c r="AC15" s="222">
        <v>3.1839999999999997</v>
      </c>
      <c r="AD15" s="222">
        <v>3.28</v>
      </c>
      <c r="AE15" s="223" t="s">
        <v>736</v>
      </c>
      <c r="AF15" s="222">
        <v>3.0720000000000001</v>
      </c>
      <c r="AG15" s="222">
        <v>3.1</v>
      </c>
      <c r="AH15" s="223" t="s">
        <v>736</v>
      </c>
      <c r="AI15" s="222">
        <v>3.1860000000000004</v>
      </c>
      <c r="AJ15" s="222">
        <v>3.2</v>
      </c>
      <c r="AK15" s="223" t="s">
        <v>311</v>
      </c>
      <c r="AL15" s="223"/>
      <c r="AM15" s="222"/>
      <c r="AN15" s="223"/>
      <c r="AO15" s="223"/>
      <c r="AP15" s="223"/>
      <c r="AQ15" s="223"/>
      <c r="AR15" s="223"/>
      <c r="AS15" s="223"/>
      <c r="AT15" s="223"/>
      <c r="AU15" s="223"/>
      <c r="AV15" s="222"/>
      <c r="AW15" s="223"/>
      <c r="AX15" s="222">
        <v>3.3919999999999999</v>
      </c>
      <c r="AY15" s="222">
        <v>3.35</v>
      </c>
      <c r="AZ15" s="223" t="s">
        <v>311</v>
      </c>
      <c r="BA15" s="222">
        <v>3.22</v>
      </c>
      <c r="BB15" s="222">
        <v>3.1839999999999997</v>
      </c>
      <c r="BC15" s="223" t="s">
        <v>311</v>
      </c>
      <c r="BD15" s="222">
        <v>3.202</v>
      </c>
      <c r="BE15" s="222">
        <v>3.3635999999999999</v>
      </c>
      <c r="BF15" s="223" t="s">
        <v>311</v>
      </c>
      <c r="BG15" s="222">
        <v>2.9813333333333332</v>
      </c>
      <c r="BH15" s="222">
        <v>2.9133333333333336</v>
      </c>
      <c r="BI15" s="223" t="s">
        <v>311</v>
      </c>
      <c r="BJ15" s="222">
        <v>3</v>
      </c>
      <c r="BK15" s="222">
        <v>3.2</v>
      </c>
      <c r="BL15" s="223" t="s">
        <v>311</v>
      </c>
      <c r="BM15" s="222">
        <v>3.3239999999999998</v>
      </c>
      <c r="BN15" s="222">
        <v>3.3680000000000003</v>
      </c>
      <c r="BO15" s="223" t="s">
        <v>311</v>
      </c>
      <c r="BP15" s="223"/>
      <c r="BQ15" s="222"/>
      <c r="BR15" s="223"/>
      <c r="BS15" s="223"/>
      <c r="BT15" s="222"/>
      <c r="BU15" s="223"/>
      <c r="BV15" s="223"/>
      <c r="BW15" s="222"/>
      <c r="BX15" s="223"/>
      <c r="BY15" s="223"/>
      <c r="BZ15" s="222"/>
      <c r="CA15" s="223"/>
      <c r="CB15" s="223"/>
      <c r="CC15" s="222"/>
      <c r="CD15" s="223"/>
      <c r="CE15" s="223"/>
      <c r="CF15" s="222"/>
      <c r="CG15" s="223"/>
      <c r="CH15" s="222">
        <v>3.36</v>
      </c>
      <c r="CI15" s="222">
        <v>3.52</v>
      </c>
      <c r="CJ15" s="223" t="s">
        <v>311</v>
      </c>
      <c r="CK15" s="223"/>
      <c r="CL15" s="222"/>
      <c r="CM15" s="223"/>
      <c r="CN15" s="208" t="s">
        <v>737</v>
      </c>
      <c r="CO15" s="224" t="s">
        <v>188</v>
      </c>
      <c r="CP15" s="208"/>
      <c r="CQ15" s="224"/>
      <c r="CR15" s="93">
        <v>0</v>
      </c>
      <c r="CS15" s="93">
        <v>0</v>
      </c>
      <c r="CT15" s="93">
        <v>0</v>
      </c>
      <c r="CU15" s="356">
        <f t="shared" si="0"/>
        <v>17</v>
      </c>
      <c r="CW15" s="175" t="str">
        <f>IF(Mata_Pelajaran!E50&lt;&gt;"",Mata_Pelajaran!E50,"")</f>
        <v>Sabara</v>
      </c>
      <c r="CY15" s="360">
        <f t="shared" si="1"/>
        <v>57.706428571428567</v>
      </c>
      <c r="CZ15" s="360">
        <f t="shared" si="2"/>
        <v>57.847409523809532</v>
      </c>
      <c r="DA15" s="359">
        <f t="shared" si="3"/>
        <v>115.55383809523809</v>
      </c>
    </row>
    <row r="16" spans="2:105" x14ac:dyDescent="0.25">
      <c r="B16" s="218">
        <v>12</v>
      </c>
      <c r="C16" s="219" t="str">
        <f>Peserta_Didik!D14</f>
        <v>1314.10.118</v>
      </c>
      <c r="D16" s="220" t="str">
        <f>Peserta_Didik!C14</f>
        <v>Gita Cahya Aulia</v>
      </c>
      <c r="E16" s="222">
        <v>3.4559999999999995</v>
      </c>
      <c r="F16" s="222">
        <v>3.54</v>
      </c>
      <c r="G16" s="223" t="s">
        <v>311</v>
      </c>
      <c r="H16" s="222">
        <v>3.3120000000000003</v>
      </c>
      <c r="I16" s="222">
        <v>3.4</v>
      </c>
      <c r="J16" s="223" t="s">
        <v>311</v>
      </c>
      <c r="K16" s="222">
        <v>3.6719999999999997</v>
      </c>
      <c r="L16" s="222">
        <v>3.8</v>
      </c>
      <c r="M16" s="223" t="s">
        <v>736</v>
      </c>
      <c r="N16" s="222">
        <v>2.709714285714286</v>
      </c>
      <c r="O16" s="222">
        <v>2.7832380952380955</v>
      </c>
      <c r="P16" s="223" t="s">
        <v>311</v>
      </c>
      <c r="Q16" s="222">
        <v>3.2919999999999998</v>
      </c>
      <c r="R16" s="222">
        <v>3.186666666666667</v>
      </c>
      <c r="S16" s="223" t="s">
        <v>311</v>
      </c>
      <c r="T16" s="222">
        <v>3.2639999999999998</v>
      </c>
      <c r="U16" s="222">
        <v>3.2439999999999998</v>
      </c>
      <c r="V16" s="223" t="s">
        <v>736</v>
      </c>
      <c r="W16" s="222">
        <v>3.2944000000000004</v>
      </c>
      <c r="X16" s="222">
        <v>3.2880000000000003</v>
      </c>
      <c r="Y16" s="223" t="s">
        <v>311</v>
      </c>
      <c r="Z16" s="222">
        <v>3.12</v>
      </c>
      <c r="AA16" s="222">
        <v>3.2439999999999998</v>
      </c>
      <c r="AB16" s="223" t="s">
        <v>311</v>
      </c>
      <c r="AC16" s="222">
        <v>3.24</v>
      </c>
      <c r="AD16" s="222">
        <v>3.28</v>
      </c>
      <c r="AE16" s="223" t="s">
        <v>311</v>
      </c>
      <c r="AF16" s="222">
        <v>3.0589999999999997</v>
      </c>
      <c r="AG16" s="222">
        <v>3.13</v>
      </c>
      <c r="AH16" s="223" t="s">
        <v>736</v>
      </c>
      <c r="AI16" s="222">
        <v>3.1039999999999996</v>
      </c>
      <c r="AJ16" s="222">
        <v>3.24</v>
      </c>
      <c r="AK16" s="223" t="s">
        <v>311</v>
      </c>
      <c r="AL16" s="223"/>
      <c r="AM16" s="222"/>
      <c r="AN16" s="223"/>
      <c r="AO16" s="223"/>
      <c r="AP16" s="223"/>
      <c r="AQ16" s="223"/>
      <c r="AR16" s="223"/>
      <c r="AS16" s="223"/>
      <c r="AT16" s="223"/>
      <c r="AU16" s="223"/>
      <c r="AV16" s="222"/>
      <c r="AW16" s="223"/>
      <c r="AX16" s="222">
        <v>3.3120000000000003</v>
      </c>
      <c r="AY16" s="222">
        <v>3.4</v>
      </c>
      <c r="AZ16" s="223" t="s">
        <v>311</v>
      </c>
      <c r="BA16" s="222">
        <v>3.0780000000000003</v>
      </c>
      <c r="BB16" s="222">
        <v>3.2080000000000002</v>
      </c>
      <c r="BC16" s="223" t="s">
        <v>311</v>
      </c>
      <c r="BD16" s="222">
        <v>3.2480000000000002</v>
      </c>
      <c r="BE16" s="222">
        <v>3.3460000000000001</v>
      </c>
      <c r="BF16" s="223" t="s">
        <v>736</v>
      </c>
      <c r="BG16" s="222">
        <v>3.0613333333333332</v>
      </c>
      <c r="BH16" s="222">
        <v>2.9133333333333336</v>
      </c>
      <c r="BI16" s="223" t="s">
        <v>311</v>
      </c>
      <c r="BJ16" s="222">
        <v>2.84</v>
      </c>
      <c r="BK16" s="222">
        <v>3</v>
      </c>
      <c r="BL16" s="223" t="s">
        <v>311</v>
      </c>
      <c r="BM16" s="222">
        <v>3.1960000000000002</v>
      </c>
      <c r="BN16" s="222">
        <v>3.3280000000000003</v>
      </c>
      <c r="BO16" s="223" t="s">
        <v>736</v>
      </c>
      <c r="BP16" s="223"/>
      <c r="BQ16" s="222"/>
      <c r="BR16" s="223"/>
      <c r="BS16" s="223"/>
      <c r="BT16" s="222"/>
      <c r="BU16" s="223"/>
      <c r="BV16" s="223"/>
      <c r="BW16" s="222"/>
      <c r="BX16" s="223"/>
      <c r="BY16" s="223"/>
      <c r="BZ16" s="222"/>
      <c r="CA16" s="223"/>
      <c r="CB16" s="223"/>
      <c r="CC16" s="222"/>
      <c r="CD16" s="223"/>
      <c r="CE16" s="223"/>
      <c r="CF16" s="222"/>
      <c r="CG16" s="223"/>
      <c r="CH16" s="222">
        <v>3.5</v>
      </c>
      <c r="CI16" s="222">
        <v>3.62</v>
      </c>
      <c r="CJ16" s="223" t="s">
        <v>311</v>
      </c>
      <c r="CK16" s="223"/>
      <c r="CL16" s="222"/>
      <c r="CM16" s="223"/>
      <c r="CN16" s="208" t="s">
        <v>258</v>
      </c>
      <c r="CO16" s="224"/>
      <c r="CP16" s="208"/>
      <c r="CQ16" s="224"/>
      <c r="CR16" s="93">
        <v>3</v>
      </c>
      <c r="CS16" s="93">
        <v>2</v>
      </c>
      <c r="CT16" s="93">
        <v>0</v>
      </c>
      <c r="CU16" s="356">
        <f t="shared" si="0"/>
        <v>8</v>
      </c>
      <c r="CW16" s="175" t="str">
        <f>IF(Mata_Pelajaran!E51&lt;&gt;"",Mata_Pelajaran!E51,"")</f>
        <v>Paduan Suara</v>
      </c>
      <c r="CY16" s="360">
        <f t="shared" si="1"/>
        <v>57.758447619047601</v>
      </c>
      <c r="CZ16" s="360">
        <f t="shared" si="2"/>
        <v>58.951238095238097</v>
      </c>
      <c r="DA16" s="359">
        <f t="shared" si="3"/>
        <v>116.7096857142857</v>
      </c>
    </row>
    <row r="17" spans="2:105" x14ac:dyDescent="0.25">
      <c r="B17" s="218">
        <v>13</v>
      </c>
      <c r="C17" s="219" t="str">
        <f>Peserta_Didik!D15</f>
        <v>1314.10.119</v>
      </c>
      <c r="D17" s="220" t="str">
        <f>Peserta_Didik!C15</f>
        <v>Hamim Yusuf</v>
      </c>
      <c r="E17" s="222">
        <v>3.2639999999999998</v>
      </c>
      <c r="F17" s="222">
        <v>3.54</v>
      </c>
      <c r="G17" s="223" t="s">
        <v>311</v>
      </c>
      <c r="H17" s="222">
        <v>3.1039999999999996</v>
      </c>
      <c r="I17" s="222">
        <v>3.34</v>
      </c>
      <c r="J17" s="223" t="s">
        <v>311</v>
      </c>
      <c r="K17" s="222">
        <v>3.3440000000000003</v>
      </c>
      <c r="L17" s="222">
        <v>3.2</v>
      </c>
      <c r="M17" s="223" t="s">
        <v>311</v>
      </c>
      <c r="N17" s="222">
        <v>2.875</v>
      </c>
      <c r="O17" s="222">
        <v>2.9706666666666668</v>
      </c>
      <c r="P17" s="223" t="s">
        <v>311</v>
      </c>
      <c r="Q17" s="222">
        <v>3.0293333333333328</v>
      </c>
      <c r="R17" s="222">
        <v>3.0866666666666669</v>
      </c>
      <c r="S17" s="223" t="s">
        <v>311</v>
      </c>
      <c r="T17" s="222">
        <v>3.2639999999999998</v>
      </c>
      <c r="U17" s="222">
        <v>3.2439999999999998</v>
      </c>
      <c r="V17" s="223" t="s">
        <v>311</v>
      </c>
      <c r="W17" s="222">
        <v>3.2240000000000002</v>
      </c>
      <c r="X17" s="222">
        <v>3.2360000000000002</v>
      </c>
      <c r="Y17" s="223" t="s">
        <v>311</v>
      </c>
      <c r="Z17" s="222">
        <v>3.52</v>
      </c>
      <c r="AA17" s="222">
        <v>3.0630000000000002</v>
      </c>
      <c r="AB17" s="223" t="s">
        <v>311</v>
      </c>
      <c r="AC17" s="222">
        <v>3.24</v>
      </c>
      <c r="AD17" s="222">
        <v>3.28</v>
      </c>
      <c r="AE17" s="223" t="s">
        <v>311</v>
      </c>
      <c r="AF17" s="222">
        <v>3.012</v>
      </c>
      <c r="AG17" s="222">
        <v>3.07</v>
      </c>
      <c r="AH17" s="223" t="s">
        <v>311</v>
      </c>
      <c r="AI17" s="222">
        <v>3.1460000000000004</v>
      </c>
      <c r="AJ17" s="222">
        <v>3.1920000000000006</v>
      </c>
      <c r="AK17" s="223" t="s">
        <v>311</v>
      </c>
      <c r="AL17" s="223"/>
      <c r="AM17" s="222"/>
      <c r="AN17" s="223"/>
      <c r="AO17" s="223"/>
      <c r="AP17" s="223"/>
      <c r="AQ17" s="223"/>
      <c r="AR17" s="223"/>
      <c r="AS17" s="223"/>
      <c r="AT17" s="223"/>
      <c r="AU17" s="223"/>
      <c r="AV17" s="222"/>
      <c r="AW17" s="223"/>
      <c r="AX17" s="222">
        <v>3.1039999999999996</v>
      </c>
      <c r="AY17" s="222">
        <v>3.34</v>
      </c>
      <c r="AZ17" s="223" t="s">
        <v>311</v>
      </c>
      <c r="BA17" s="222">
        <v>3.1519999999999997</v>
      </c>
      <c r="BB17" s="222">
        <v>3.2080000000000002</v>
      </c>
      <c r="BC17" s="223" t="s">
        <v>311</v>
      </c>
      <c r="BD17" s="222">
        <v>3.0960000000000001</v>
      </c>
      <c r="BE17" s="222">
        <v>3.3024</v>
      </c>
      <c r="BF17" s="223" t="s">
        <v>736</v>
      </c>
      <c r="BG17" s="222">
        <v>3.0533333333333337</v>
      </c>
      <c r="BH17" s="222">
        <v>3.0333333333333337</v>
      </c>
      <c r="BI17" s="223" t="s">
        <v>311</v>
      </c>
      <c r="BJ17" s="222">
        <v>2.92</v>
      </c>
      <c r="BK17" s="222">
        <v>2.95</v>
      </c>
      <c r="BL17" s="223" t="s">
        <v>311</v>
      </c>
      <c r="BM17" s="222">
        <v>3.1960000000000002</v>
      </c>
      <c r="BN17" s="222">
        <v>3.2560000000000002</v>
      </c>
      <c r="BO17" s="223" t="s">
        <v>736</v>
      </c>
      <c r="BP17" s="223"/>
      <c r="BQ17" s="222"/>
      <c r="BR17" s="223"/>
      <c r="BS17" s="223"/>
      <c r="BT17" s="222"/>
      <c r="BU17" s="223"/>
      <c r="BV17" s="223"/>
      <c r="BW17" s="222"/>
      <c r="BX17" s="223"/>
      <c r="BY17" s="223"/>
      <c r="BZ17" s="222"/>
      <c r="CA17" s="223"/>
      <c r="CB17" s="223"/>
      <c r="CC17" s="222"/>
      <c r="CD17" s="223"/>
      <c r="CE17" s="223"/>
      <c r="CF17" s="222"/>
      <c r="CG17" s="223"/>
      <c r="CH17" s="222">
        <v>3.4266666666666663</v>
      </c>
      <c r="CI17" s="222">
        <v>3.54</v>
      </c>
      <c r="CJ17" s="223" t="s">
        <v>311</v>
      </c>
      <c r="CK17" s="223"/>
      <c r="CL17" s="222"/>
      <c r="CM17" s="223"/>
      <c r="CN17" s="208" t="s">
        <v>258</v>
      </c>
      <c r="CO17" s="224"/>
      <c r="CP17" s="208"/>
      <c r="CQ17" s="224"/>
      <c r="CR17" s="93">
        <v>7</v>
      </c>
      <c r="CS17" s="93">
        <v>4</v>
      </c>
      <c r="CT17" s="93">
        <v>1</v>
      </c>
      <c r="CU17" s="356">
        <f t="shared" si="0"/>
        <v>22</v>
      </c>
      <c r="CW17" s="175" t="str">
        <f>IF(Mata_Pelajaran!E52&lt;&gt;"",Mata_Pelajaran!E52,"")</f>
        <v>Band</v>
      </c>
      <c r="CY17" s="360">
        <f t="shared" si="1"/>
        <v>56.970333333333343</v>
      </c>
      <c r="CZ17" s="360">
        <f t="shared" si="2"/>
        <v>57.852066666666659</v>
      </c>
      <c r="DA17" s="359">
        <f t="shared" si="3"/>
        <v>114.8224</v>
      </c>
    </row>
    <row r="18" spans="2:105" x14ac:dyDescent="0.25">
      <c r="B18" s="218">
        <v>14</v>
      </c>
      <c r="C18" s="219" t="str">
        <f>Peserta_Didik!D16</f>
        <v>1314.10.120</v>
      </c>
      <c r="D18" s="220" t="str">
        <f>Peserta_Didik!C16</f>
        <v>Hamzah Ashari</v>
      </c>
      <c r="E18" s="222">
        <v>3.3119999999999998</v>
      </c>
      <c r="F18" s="222">
        <v>3.54</v>
      </c>
      <c r="G18" s="223" t="s">
        <v>311</v>
      </c>
      <c r="H18" s="222">
        <v>3.0720000000000005</v>
      </c>
      <c r="I18" s="222">
        <v>3.4</v>
      </c>
      <c r="J18" s="223" t="s">
        <v>311</v>
      </c>
      <c r="K18" s="222">
        <v>3.3439999999999999</v>
      </c>
      <c r="L18" s="222">
        <v>3.4</v>
      </c>
      <c r="M18" s="223" t="s">
        <v>311</v>
      </c>
      <c r="N18" s="222">
        <v>2.6314285714285712</v>
      </c>
      <c r="O18" s="222">
        <v>2.7344761904761907</v>
      </c>
      <c r="P18" s="223" t="s">
        <v>311</v>
      </c>
      <c r="Q18" s="222">
        <v>3.293333333333333</v>
      </c>
      <c r="R18" s="222">
        <v>3.1933333333333334</v>
      </c>
      <c r="S18" s="223" t="s">
        <v>311</v>
      </c>
      <c r="T18" s="222">
        <v>3.2639999999999998</v>
      </c>
      <c r="U18" s="222">
        <v>3.2439999999999998</v>
      </c>
      <c r="V18" s="223" t="s">
        <v>311</v>
      </c>
      <c r="W18" s="222">
        <v>3.2080000000000002</v>
      </c>
      <c r="X18" s="222">
        <v>3.2080000000000002</v>
      </c>
      <c r="Y18" s="223" t="s">
        <v>311</v>
      </c>
      <c r="Z18" s="222">
        <v>3.2</v>
      </c>
      <c r="AA18" s="222">
        <v>3.069</v>
      </c>
      <c r="AB18" s="223" t="s">
        <v>311</v>
      </c>
      <c r="AC18" s="222">
        <v>3.2</v>
      </c>
      <c r="AD18" s="222">
        <v>3.28</v>
      </c>
      <c r="AE18" s="223" t="s">
        <v>311</v>
      </c>
      <c r="AF18" s="222">
        <v>2.87</v>
      </c>
      <c r="AG18" s="222">
        <v>3.05</v>
      </c>
      <c r="AH18" s="223" t="s">
        <v>311</v>
      </c>
      <c r="AI18" s="222">
        <v>3.1787999999999998</v>
      </c>
      <c r="AJ18" s="222">
        <v>3.1680000000000001</v>
      </c>
      <c r="AK18" s="223" t="s">
        <v>311</v>
      </c>
      <c r="AL18" s="223"/>
      <c r="AM18" s="222"/>
      <c r="AN18" s="223"/>
      <c r="AO18" s="223"/>
      <c r="AP18" s="223"/>
      <c r="AQ18" s="223"/>
      <c r="AR18" s="223"/>
      <c r="AS18" s="223"/>
      <c r="AT18" s="223"/>
      <c r="AU18" s="223"/>
      <c r="AV18" s="222"/>
      <c r="AW18" s="223"/>
      <c r="AX18" s="222">
        <v>3.0720000000000005</v>
      </c>
      <c r="AY18" s="222">
        <v>3.4</v>
      </c>
      <c r="AZ18" s="223" t="s">
        <v>311</v>
      </c>
      <c r="BA18" s="222">
        <v>3.08</v>
      </c>
      <c r="BB18" s="222">
        <v>3.2320000000000007</v>
      </c>
      <c r="BC18" s="223" t="s">
        <v>311</v>
      </c>
      <c r="BD18" s="222">
        <v>3.2539999999999996</v>
      </c>
      <c r="BE18" s="222">
        <v>3.2348000000000003</v>
      </c>
      <c r="BF18" s="223" t="s">
        <v>311</v>
      </c>
      <c r="BG18" s="222">
        <v>3.0213333333333332</v>
      </c>
      <c r="BH18" s="222">
        <v>3.2133333333333338</v>
      </c>
      <c r="BI18" s="223" t="s">
        <v>311</v>
      </c>
      <c r="BJ18" s="222">
        <v>2.92</v>
      </c>
      <c r="BK18" s="222">
        <v>2.95</v>
      </c>
      <c r="BL18" s="223" t="s">
        <v>311</v>
      </c>
      <c r="BM18" s="222">
        <v>3.1280000000000001</v>
      </c>
      <c r="BN18" s="222">
        <v>3.2680000000000002</v>
      </c>
      <c r="BO18" s="223" t="s">
        <v>311</v>
      </c>
      <c r="BP18" s="223"/>
      <c r="BQ18" s="222"/>
      <c r="BR18" s="223"/>
      <c r="BS18" s="223"/>
      <c r="BT18" s="222"/>
      <c r="BU18" s="223"/>
      <c r="BV18" s="223"/>
      <c r="BW18" s="222"/>
      <c r="BX18" s="223"/>
      <c r="BY18" s="223"/>
      <c r="BZ18" s="222"/>
      <c r="CA18" s="223"/>
      <c r="CB18" s="223"/>
      <c r="CC18" s="222"/>
      <c r="CD18" s="223"/>
      <c r="CE18" s="223"/>
      <c r="CF18" s="222"/>
      <c r="CG18" s="223"/>
      <c r="CH18" s="222">
        <v>3.5133333333333336</v>
      </c>
      <c r="CI18" s="222">
        <v>3.54</v>
      </c>
      <c r="CJ18" s="223" t="s">
        <v>311</v>
      </c>
      <c r="CK18" s="223"/>
      <c r="CL18" s="222"/>
      <c r="CM18" s="223"/>
      <c r="CN18" s="208" t="s">
        <v>258</v>
      </c>
      <c r="CO18" s="224"/>
      <c r="CP18" s="208" t="s">
        <v>832</v>
      </c>
      <c r="CQ18" s="224" t="s">
        <v>188</v>
      </c>
      <c r="CR18" s="93">
        <v>5</v>
      </c>
      <c r="CS18" s="93">
        <v>0</v>
      </c>
      <c r="CT18" s="93">
        <v>0</v>
      </c>
      <c r="CU18" s="356">
        <f t="shared" si="0"/>
        <v>25</v>
      </c>
      <c r="CW18" s="175" t="str">
        <f>IF(Mata_Pelajaran!E53&lt;&gt;"",Mata_Pelajaran!E53,"")</f>
        <v>Tari Drama</v>
      </c>
      <c r="CY18" s="360">
        <f t="shared" si="1"/>
        <v>56.56222857142857</v>
      </c>
      <c r="CZ18" s="360">
        <f t="shared" si="2"/>
        <v>58.124942857142855</v>
      </c>
      <c r="DA18" s="359">
        <f t="shared" si="3"/>
        <v>114.68717142857142</v>
      </c>
    </row>
    <row r="19" spans="2:105" x14ac:dyDescent="0.25">
      <c r="B19" s="218">
        <v>15</v>
      </c>
      <c r="C19" s="219" t="str">
        <f>Peserta_Didik!D17</f>
        <v>1314.10.121</v>
      </c>
      <c r="D19" s="220" t="str">
        <f>Peserta_Didik!C17</f>
        <v>Harry Sandi</v>
      </c>
      <c r="E19" s="222">
        <v>3.76</v>
      </c>
      <c r="F19" s="222">
        <v>3.6</v>
      </c>
      <c r="G19" s="223" t="s">
        <v>736</v>
      </c>
      <c r="H19" s="222">
        <v>3.4560000000000004</v>
      </c>
      <c r="I19" s="222">
        <v>3.4</v>
      </c>
      <c r="J19" s="223" t="s">
        <v>736</v>
      </c>
      <c r="K19" s="222">
        <v>3.6719999999999997</v>
      </c>
      <c r="L19" s="222">
        <v>3.8</v>
      </c>
      <c r="M19" s="223" t="s">
        <v>736</v>
      </c>
      <c r="N19" s="222">
        <v>2.6971428571428571</v>
      </c>
      <c r="O19" s="222">
        <v>2.8297142857142861</v>
      </c>
      <c r="P19" s="223" t="s">
        <v>736</v>
      </c>
      <c r="Q19" s="222">
        <v>3.1933333333333334</v>
      </c>
      <c r="R19" s="222">
        <v>3.2</v>
      </c>
      <c r="S19" s="223" t="s">
        <v>311</v>
      </c>
      <c r="T19" s="222">
        <v>3.2639999999999998</v>
      </c>
      <c r="U19" s="222">
        <v>3.2439999999999998</v>
      </c>
      <c r="V19" s="223" t="s">
        <v>736</v>
      </c>
      <c r="W19" s="222">
        <v>3.3727999999999998</v>
      </c>
      <c r="X19" s="222">
        <v>3.3480000000000003</v>
      </c>
      <c r="Y19" s="223" t="s">
        <v>311</v>
      </c>
      <c r="Z19" s="222">
        <v>3.04</v>
      </c>
      <c r="AA19" s="222">
        <v>3.0780000000000003</v>
      </c>
      <c r="AB19" s="223" t="s">
        <v>311</v>
      </c>
      <c r="AC19" s="222">
        <v>3.2319999999999998</v>
      </c>
      <c r="AD19" s="222">
        <v>3.24</v>
      </c>
      <c r="AE19" s="223" t="s">
        <v>311</v>
      </c>
      <c r="AF19" s="222">
        <v>3.0610000000000004</v>
      </c>
      <c r="AG19" s="222">
        <v>3.19</v>
      </c>
      <c r="AH19" s="223" t="s">
        <v>736</v>
      </c>
      <c r="AI19" s="222">
        <v>3.1546000000000003</v>
      </c>
      <c r="AJ19" s="222">
        <v>3.2560000000000002</v>
      </c>
      <c r="AK19" s="223" t="s">
        <v>311</v>
      </c>
      <c r="AL19" s="223"/>
      <c r="AM19" s="222"/>
      <c r="AN19" s="223"/>
      <c r="AO19" s="223"/>
      <c r="AP19" s="223"/>
      <c r="AQ19" s="223"/>
      <c r="AR19" s="223"/>
      <c r="AS19" s="223"/>
      <c r="AT19" s="223"/>
      <c r="AU19" s="223"/>
      <c r="AV19" s="222"/>
      <c r="AW19" s="223"/>
      <c r="AX19" s="222">
        <v>3.4560000000000004</v>
      </c>
      <c r="AY19" s="222">
        <v>3.4</v>
      </c>
      <c r="AZ19" s="223" t="s">
        <v>736</v>
      </c>
      <c r="BA19" s="222">
        <v>3.1519999999999997</v>
      </c>
      <c r="BB19" s="222">
        <v>3.24</v>
      </c>
      <c r="BC19" s="223" t="s">
        <v>311</v>
      </c>
      <c r="BD19" s="222">
        <v>3.0920000000000001</v>
      </c>
      <c r="BE19" s="222">
        <v>3.4624000000000001</v>
      </c>
      <c r="BF19" s="223" t="s">
        <v>311</v>
      </c>
      <c r="BG19" s="222">
        <v>3.1893333333333338</v>
      </c>
      <c r="BH19" s="222">
        <v>2.9933333333333336</v>
      </c>
      <c r="BI19" s="223" t="s">
        <v>311</v>
      </c>
      <c r="BJ19" s="222">
        <v>3.1919999999999997</v>
      </c>
      <c r="BK19" s="222">
        <v>3.42</v>
      </c>
      <c r="BL19" s="223" t="s">
        <v>311</v>
      </c>
      <c r="BM19" s="222">
        <v>3.3280000000000003</v>
      </c>
      <c r="BN19" s="222">
        <v>3.37</v>
      </c>
      <c r="BO19" s="223" t="s">
        <v>311</v>
      </c>
      <c r="BP19" s="223"/>
      <c r="BQ19" s="222"/>
      <c r="BR19" s="223"/>
      <c r="BS19" s="223"/>
      <c r="BT19" s="222"/>
      <c r="BU19" s="223"/>
      <c r="BV19" s="223"/>
      <c r="BW19" s="222"/>
      <c r="BX19" s="223"/>
      <c r="BY19" s="223"/>
      <c r="BZ19" s="222"/>
      <c r="CA19" s="223"/>
      <c r="CB19" s="223"/>
      <c r="CC19" s="222"/>
      <c r="CD19" s="223"/>
      <c r="CE19" s="223"/>
      <c r="CF19" s="222"/>
      <c r="CG19" s="223"/>
      <c r="CH19" s="222">
        <v>3.36</v>
      </c>
      <c r="CI19" s="222">
        <v>3.5</v>
      </c>
      <c r="CJ19" s="223" t="s">
        <v>311</v>
      </c>
      <c r="CK19" s="223"/>
      <c r="CL19" s="222"/>
      <c r="CM19" s="223"/>
      <c r="CN19" s="208" t="s">
        <v>258</v>
      </c>
      <c r="CO19" s="224"/>
      <c r="CP19" s="208" t="s">
        <v>739</v>
      </c>
      <c r="CQ19" s="224" t="s">
        <v>188</v>
      </c>
      <c r="CR19" s="93">
        <v>0</v>
      </c>
      <c r="CS19" s="93">
        <v>0</v>
      </c>
      <c r="CT19" s="93">
        <v>0</v>
      </c>
      <c r="CU19" s="356">
        <f t="shared" si="0"/>
        <v>4</v>
      </c>
      <c r="CW19" s="175" t="str">
        <f>IF(Mata_Pelajaran!E54&lt;&gt;"",Mata_Pelajaran!E54,"")</f>
        <v>Hadroh</v>
      </c>
      <c r="CY19" s="360">
        <f t="shared" si="1"/>
        <v>58.672209523809535</v>
      </c>
      <c r="CZ19" s="360">
        <f t="shared" si="2"/>
        <v>59.571447619047618</v>
      </c>
      <c r="DA19" s="359">
        <f t="shared" si="3"/>
        <v>118.24365714285716</v>
      </c>
    </row>
    <row r="20" spans="2:105" x14ac:dyDescent="0.25">
      <c r="B20" s="218">
        <v>16</v>
      </c>
      <c r="C20" s="219" t="str">
        <f>Peserta_Didik!D18</f>
        <v>1314.10.122</v>
      </c>
      <c r="D20" s="220" t="str">
        <f>Peserta_Didik!C18</f>
        <v>Hilman Fajri Fahriansyah</v>
      </c>
      <c r="E20" s="222">
        <v>3.3439999999999999</v>
      </c>
      <c r="F20" s="222">
        <v>3.5</v>
      </c>
      <c r="G20" s="223" t="s">
        <v>311</v>
      </c>
      <c r="H20" s="222">
        <v>3</v>
      </c>
      <c r="I20" s="222">
        <v>3.35</v>
      </c>
      <c r="J20" s="223" t="s">
        <v>311</v>
      </c>
      <c r="K20" s="222">
        <v>3.3440000000000003</v>
      </c>
      <c r="L20" s="222">
        <v>3.2</v>
      </c>
      <c r="M20" s="223" t="s">
        <v>311</v>
      </c>
      <c r="N20" s="222">
        <v>2.8828571428571426</v>
      </c>
      <c r="O20" s="222">
        <v>3.004952380952381</v>
      </c>
      <c r="P20" s="223" t="s">
        <v>311</v>
      </c>
      <c r="Q20" s="222">
        <v>3.008</v>
      </c>
      <c r="R20" s="222">
        <v>3.1</v>
      </c>
      <c r="S20" s="223" t="s">
        <v>311</v>
      </c>
      <c r="T20" s="222">
        <v>3.2639999999999998</v>
      </c>
      <c r="U20" s="222">
        <v>3.2239999999999998</v>
      </c>
      <c r="V20" s="223" t="s">
        <v>311</v>
      </c>
      <c r="W20" s="222">
        <v>3.2495999999999996</v>
      </c>
      <c r="X20" s="222">
        <v>3.2360000000000002</v>
      </c>
      <c r="Y20" s="223" t="s">
        <v>311</v>
      </c>
      <c r="Z20" s="222">
        <v>3.6</v>
      </c>
      <c r="AA20" s="222">
        <v>3.234</v>
      </c>
      <c r="AB20" s="223" t="s">
        <v>311</v>
      </c>
      <c r="AC20" s="222">
        <v>3.1760000000000002</v>
      </c>
      <c r="AD20" s="222">
        <v>3.24</v>
      </c>
      <c r="AE20" s="223" t="s">
        <v>311</v>
      </c>
      <c r="AF20" s="222">
        <v>2.8650000000000002</v>
      </c>
      <c r="AG20" s="222">
        <v>3</v>
      </c>
      <c r="AH20" s="223" t="s">
        <v>311</v>
      </c>
      <c r="AI20" s="222">
        <v>3.0680000000000001</v>
      </c>
      <c r="AJ20" s="222">
        <v>3.1520000000000006</v>
      </c>
      <c r="AK20" s="223" t="s">
        <v>311</v>
      </c>
      <c r="AL20" s="223"/>
      <c r="AM20" s="222"/>
      <c r="AN20" s="223"/>
      <c r="AO20" s="223"/>
      <c r="AP20" s="223"/>
      <c r="AQ20" s="223"/>
      <c r="AR20" s="223"/>
      <c r="AS20" s="223"/>
      <c r="AT20" s="223"/>
      <c r="AU20" s="223"/>
      <c r="AV20" s="222"/>
      <c r="AW20" s="223"/>
      <c r="AX20" s="222">
        <v>3</v>
      </c>
      <c r="AY20" s="222">
        <v>3.35</v>
      </c>
      <c r="AZ20" s="223" t="s">
        <v>311</v>
      </c>
      <c r="BA20" s="222">
        <v>3.0839999999999996</v>
      </c>
      <c r="BB20" s="222">
        <v>3.1839999999999997</v>
      </c>
      <c r="BC20" s="223" t="s">
        <v>311</v>
      </c>
      <c r="BD20" s="222">
        <v>3.1619999999999999</v>
      </c>
      <c r="BE20" s="222">
        <v>3.2636000000000003</v>
      </c>
      <c r="BF20" s="223" t="s">
        <v>311</v>
      </c>
      <c r="BG20" s="222">
        <v>3.0213333333333332</v>
      </c>
      <c r="BH20" s="222">
        <v>2.9133333333333336</v>
      </c>
      <c r="BI20" s="223" t="s">
        <v>311</v>
      </c>
      <c r="BJ20" s="222">
        <v>2.92</v>
      </c>
      <c r="BK20" s="222">
        <v>2.95</v>
      </c>
      <c r="BL20" s="223" t="s">
        <v>311</v>
      </c>
      <c r="BM20" s="222">
        <v>3.2080000000000002</v>
      </c>
      <c r="BN20" s="222">
        <v>3.2760000000000002</v>
      </c>
      <c r="BO20" s="223" t="s">
        <v>311</v>
      </c>
      <c r="BP20" s="223"/>
      <c r="BQ20" s="222"/>
      <c r="BR20" s="223"/>
      <c r="BS20" s="223"/>
      <c r="BT20" s="222"/>
      <c r="BU20" s="223"/>
      <c r="BV20" s="223"/>
      <c r="BW20" s="222"/>
      <c r="BX20" s="223"/>
      <c r="BY20" s="223"/>
      <c r="BZ20" s="222"/>
      <c r="CA20" s="223"/>
      <c r="CB20" s="223"/>
      <c r="CC20" s="222"/>
      <c r="CD20" s="223"/>
      <c r="CE20" s="223"/>
      <c r="CF20" s="222"/>
      <c r="CG20" s="223"/>
      <c r="CH20" s="222">
        <v>3.5466666666666664</v>
      </c>
      <c r="CI20" s="222">
        <v>3.64</v>
      </c>
      <c r="CJ20" s="223" t="s">
        <v>311</v>
      </c>
      <c r="CK20" s="223"/>
      <c r="CL20" s="222"/>
      <c r="CM20" s="223"/>
      <c r="CN20" s="208" t="s">
        <v>258</v>
      </c>
      <c r="CO20" s="224"/>
      <c r="CP20" s="208" t="s">
        <v>258</v>
      </c>
      <c r="CQ20" s="224"/>
      <c r="CR20" s="93">
        <v>1</v>
      </c>
      <c r="CS20" s="93">
        <v>0</v>
      </c>
      <c r="CT20" s="93">
        <v>0</v>
      </c>
      <c r="CU20" s="356">
        <f t="shared" si="0"/>
        <v>26</v>
      </c>
      <c r="CW20" s="175" t="str">
        <f>IF(Mata_Pelajaran!E55&lt;&gt;"",Mata_Pelajaran!E55,"")</f>
        <v>Radio</v>
      </c>
      <c r="CY20" s="360">
        <f t="shared" si="1"/>
        <v>56.743457142857146</v>
      </c>
      <c r="CZ20" s="360">
        <f t="shared" si="2"/>
        <v>57.817885714285723</v>
      </c>
      <c r="DA20" s="359">
        <f t="shared" si="3"/>
        <v>114.56134285714288</v>
      </c>
    </row>
    <row r="21" spans="2:105" x14ac:dyDescent="0.25">
      <c r="B21" s="218">
        <v>17</v>
      </c>
      <c r="C21" s="219" t="str">
        <f>Peserta_Didik!D19</f>
        <v>1314.10.123</v>
      </c>
      <c r="D21" s="220" t="str">
        <f>Peserta_Didik!C19</f>
        <v>Ilham Sidiq</v>
      </c>
      <c r="E21" s="222">
        <v>3.3280000000000003</v>
      </c>
      <c r="F21" s="222">
        <v>3.5</v>
      </c>
      <c r="G21" s="223" t="s">
        <v>311</v>
      </c>
      <c r="H21" s="222">
        <v>3.16</v>
      </c>
      <c r="I21" s="222">
        <v>3.38</v>
      </c>
      <c r="J21" s="223" t="s">
        <v>311</v>
      </c>
      <c r="K21" s="222">
        <v>3.6719999999999997</v>
      </c>
      <c r="L21" s="222">
        <v>3.4</v>
      </c>
      <c r="M21" s="223" t="s">
        <v>311</v>
      </c>
      <c r="N21" s="222">
        <v>2.6349999999999998</v>
      </c>
      <c r="O21" s="222">
        <v>2.7040000000000002</v>
      </c>
      <c r="P21" s="223" t="s">
        <v>311</v>
      </c>
      <c r="Q21" s="222">
        <v>3.056</v>
      </c>
      <c r="R21" s="222">
        <v>3.0666666666666669</v>
      </c>
      <c r="S21" s="223" t="s">
        <v>311</v>
      </c>
      <c r="T21" s="222">
        <v>3.2639999999999998</v>
      </c>
      <c r="U21" s="222">
        <v>3.2239999999999998</v>
      </c>
      <c r="V21" s="223" t="s">
        <v>311</v>
      </c>
      <c r="W21" s="222">
        <v>3.2576000000000001</v>
      </c>
      <c r="X21" s="222">
        <v>3.2560000000000002</v>
      </c>
      <c r="Y21" s="223" t="s">
        <v>311</v>
      </c>
      <c r="Z21" s="222">
        <v>3.04</v>
      </c>
      <c r="AA21" s="222">
        <v>3</v>
      </c>
      <c r="AB21" s="223" t="s">
        <v>311</v>
      </c>
      <c r="AC21" s="222">
        <v>3.1919999999999997</v>
      </c>
      <c r="AD21" s="222">
        <v>3.24</v>
      </c>
      <c r="AE21" s="223" t="s">
        <v>311</v>
      </c>
      <c r="AF21" s="222">
        <v>2.9510000000000001</v>
      </c>
      <c r="AG21" s="222">
        <v>3.1</v>
      </c>
      <c r="AH21" s="223" t="s">
        <v>311</v>
      </c>
      <c r="AI21" s="222">
        <v>3.08</v>
      </c>
      <c r="AJ21" s="222">
        <v>3.1680000000000001</v>
      </c>
      <c r="AK21" s="223" t="s">
        <v>311</v>
      </c>
      <c r="AL21" s="223"/>
      <c r="AM21" s="222"/>
      <c r="AN21" s="223"/>
      <c r="AO21" s="223"/>
      <c r="AP21" s="223"/>
      <c r="AQ21" s="223"/>
      <c r="AR21" s="223"/>
      <c r="AS21" s="223"/>
      <c r="AT21" s="223"/>
      <c r="AU21" s="223"/>
      <c r="AV21" s="222"/>
      <c r="AW21" s="223"/>
      <c r="AX21" s="222">
        <v>3.16</v>
      </c>
      <c r="AY21" s="222">
        <v>3.38</v>
      </c>
      <c r="AZ21" s="223" t="s">
        <v>311</v>
      </c>
      <c r="BA21" s="222">
        <v>3.06</v>
      </c>
      <c r="BB21" s="222">
        <v>3.2560000000000002</v>
      </c>
      <c r="BC21" s="223" t="s">
        <v>311</v>
      </c>
      <c r="BD21" s="222">
        <v>3.1619999999999999</v>
      </c>
      <c r="BE21" s="222">
        <v>3.2408000000000006</v>
      </c>
      <c r="BF21" s="223" t="s">
        <v>311</v>
      </c>
      <c r="BG21" s="222">
        <v>3.0213333333333332</v>
      </c>
      <c r="BH21" s="222">
        <v>2.9133333333333336</v>
      </c>
      <c r="BI21" s="223" t="s">
        <v>311</v>
      </c>
      <c r="BJ21" s="222">
        <v>2.92</v>
      </c>
      <c r="BK21" s="222">
        <v>3.05</v>
      </c>
      <c r="BL21" s="223" t="s">
        <v>311</v>
      </c>
      <c r="BM21" s="222">
        <v>3.1280000000000001</v>
      </c>
      <c r="BN21" s="222">
        <v>3.26</v>
      </c>
      <c r="BO21" s="223" t="s">
        <v>311</v>
      </c>
      <c r="BP21" s="223"/>
      <c r="BQ21" s="222"/>
      <c r="BR21" s="223"/>
      <c r="BS21" s="223"/>
      <c r="BT21" s="222"/>
      <c r="BU21" s="223"/>
      <c r="BV21" s="223"/>
      <c r="BW21" s="222"/>
      <c r="BX21" s="223"/>
      <c r="BY21" s="223"/>
      <c r="BZ21" s="222"/>
      <c r="CA21" s="223"/>
      <c r="CB21" s="223"/>
      <c r="CC21" s="222"/>
      <c r="CD21" s="223"/>
      <c r="CE21" s="223"/>
      <c r="CF21" s="222"/>
      <c r="CG21" s="223"/>
      <c r="CH21" s="222">
        <v>3.5066666666666664</v>
      </c>
      <c r="CI21" s="222">
        <v>3.54</v>
      </c>
      <c r="CJ21" s="223" t="s">
        <v>311</v>
      </c>
      <c r="CK21" s="223"/>
      <c r="CL21" s="222"/>
      <c r="CM21" s="223"/>
      <c r="CN21" s="208" t="s">
        <v>737</v>
      </c>
      <c r="CO21" s="224" t="s">
        <v>311</v>
      </c>
      <c r="CP21" s="208" t="s">
        <v>258</v>
      </c>
      <c r="CQ21" s="224"/>
      <c r="CR21" s="93">
        <v>0</v>
      </c>
      <c r="CS21" s="93">
        <v>0</v>
      </c>
      <c r="CT21" s="93">
        <v>0</v>
      </c>
      <c r="CU21" s="356">
        <f t="shared" si="0"/>
        <v>28</v>
      </c>
      <c r="CW21" s="175" t="str">
        <f>IF(Mata_Pelajaran!E56&lt;&gt;"",Mata_Pelajaran!E56,"")</f>
        <v>KIR</v>
      </c>
      <c r="CY21" s="360">
        <f t="shared" si="1"/>
        <v>56.593599999999995</v>
      </c>
      <c r="CZ21" s="360">
        <f t="shared" si="2"/>
        <v>57.678800000000003</v>
      </c>
      <c r="DA21" s="359">
        <f t="shared" si="3"/>
        <v>114.2724</v>
      </c>
    </row>
    <row r="22" spans="2:105" x14ac:dyDescent="0.25">
      <c r="B22" s="218">
        <v>18</v>
      </c>
      <c r="C22" s="219" t="str">
        <f>Peserta_Didik!D20</f>
        <v>1314.10.124</v>
      </c>
      <c r="D22" s="220" t="str">
        <f>Peserta_Didik!C20</f>
        <v>Irfan Ahmad Fadhil</v>
      </c>
      <c r="E22" s="222">
        <v>3.2959999999999998</v>
      </c>
      <c r="F22" s="222">
        <v>3.46</v>
      </c>
      <c r="G22" s="223" t="s">
        <v>311</v>
      </c>
      <c r="H22" s="222">
        <v>3.016</v>
      </c>
      <c r="I22" s="222">
        <v>3.19</v>
      </c>
      <c r="J22" s="223" t="s">
        <v>311</v>
      </c>
      <c r="K22" s="222">
        <v>3.6720000000000006</v>
      </c>
      <c r="L22" s="222">
        <v>3.2</v>
      </c>
      <c r="M22" s="223" t="s">
        <v>311</v>
      </c>
      <c r="N22" s="222">
        <v>2.6342857142857143</v>
      </c>
      <c r="O22" s="222">
        <v>2.7154285714285713</v>
      </c>
      <c r="P22" s="223" t="s">
        <v>311</v>
      </c>
      <c r="Q22" s="222">
        <v>3.1959999999999997</v>
      </c>
      <c r="R22" s="222">
        <v>3.1</v>
      </c>
      <c r="S22" s="223" t="s">
        <v>311</v>
      </c>
      <c r="T22" s="222">
        <v>3.2639999999999998</v>
      </c>
      <c r="U22" s="222">
        <v>3.2239999999999998</v>
      </c>
      <c r="V22" s="223" t="s">
        <v>311</v>
      </c>
      <c r="W22" s="222">
        <v>3.2672000000000003</v>
      </c>
      <c r="X22" s="222">
        <v>3.24</v>
      </c>
      <c r="Y22" s="223" t="s">
        <v>311</v>
      </c>
      <c r="Z22" s="222">
        <v>3.04</v>
      </c>
      <c r="AA22" s="222">
        <v>3.4339999999999997</v>
      </c>
      <c r="AB22" s="223" t="s">
        <v>311</v>
      </c>
      <c r="AC22" s="222">
        <v>3.2</v>
      </c>
      <c r="AD22" s="222">
        <v>3.28</v>
      </c>
      <c r="AE22" s="223" t="s">
        <v>311</v>
      </c>
      <c r="AF22" s="222">
        <v>3.0129999999999999</v>
      </c>
      <c r="AG22" s="222">
        <v>3.21</v>
      </c>
      <c r="AH22" s="223" t="s">
        <v>736</v>
      </c>
      <c r="AI22" s="222">
        <v>3.0760000000000001</v>
      </c>
      <c r="AJ22" s="222">
        <v>3.0960000000000001</v>
      </c>
      <c r="AK22" s="223" t="s">
        <v>311</v>
      </c>
      <c r="AL22" s="223"/>
      <c r="AM22" s="222"/>
      <c r="AN22" s="223"/>
      <c r="AO22" s="223"/>
      <c r="AP22" s="223"/>
      <c r="AQ22" s="223"/>
      <c r="AR22" s="223"/>
      <c r="AS22" s="223"/>
      <c r="AT22" s="223"/>
      <c r="AU22" s="223"/>
      <c r="AV22" s="223"/>
      <c r="AW22" s="223"/>
      <c r="AX22" s="222">
        <v>3.016</v>
      </c>
      <c r="AY22" s="222">
        <v>3.19</v>
      </c>
      <c r="AZ22" s="223" t="s">
        <v>311</v>
      </c>
      <c r="BA22" s="222">
        <v>3.08</v>
      </c>
      <c r="BB22" s="222">
        <v>3.1520000000000006</v>
      </c>
      <c r="BC22" s="223" t="s">
        <v>311</v>
      </c>
      <c r="BD22" s="222">
        <v>3.2480000000000002</v>
      </c>
      <c r="BE22" s="222">
        <v>3.2551999999999999</v>
      </c>
      <c r="BF22" s="223" t="s">
        <v>311</v>
      </c>
      <c r="BG22" s="222">
        <v>2.9466666666666663</v>
      </c>
      <c r="BH22" s="222">
        <v>2.9666666666666663</v>
      </c>
      <c r="BI22" s="223" t="s">
        <v>311</v>
      </c>
      <c r="BJ22" s="222">
        <v>2.76</v>
      </c>
      <c r="BK22" s="222">
        <v>2.85</v>
      </c>
      <c r="BL22" s="223" t="s">
        <v>311</v>
      </c>
      <c r="BM22" s="222">
        <v>3.1280000000000001</v>
      </c>
      <c r="BN22" s="222">
        <v>3.2880000000000003</v>
      </c>
      <c r="BO22" s="223" t="s">
        <v>311</v>
      </c>
      <c r="BP22" s="223"/>
      <c r="BQ22" s="222"/>
      <c r="BR22" s="223"/>
      <c r="BS22" s="223"/>
      <c r="BT22" s="222"/>
      <c r="BU22" s="223"/>
      <c r="BV22" s="223"/>
      <c r="BW22" s="222"/>
      <c r="BX22" s="223"/>
      <c r="BY22" s="223"/>
      <c r="BZ22" s="222"/>
      <c r="CA22" s="223"/>
      <c r="CB22" s="223"/>
      <c r="CC22" s="222"/>
      <c r="CD22" s="223"/>
      <c r="CE22" s="223"/>
      <c r="CF22" s="222"/>
      <c r="CG22" s="223"/>
      <c r="CH22" s="222">
        <v>3.4733333333333336</v>
      </c>
      <c r="CI22" s="222">
        <v>3.54</v>
      </c>
      <c r="CJ22" s="223" t="s">
        <v>311</v>
      </c>
      <c r="CK22" s="223"/>
      <c r="CL22" s="222"/>
      <c r="CM22" s="223"/>
      <c r="CN22" s="208" t="s">
        <v>258</v>
      </c>
      <c r="CO22" s="224"/>
      <c r="CP22" s="208" t="s">
        <v>832</v>
      </c>
      <c r="CQ22" s="224" t="s">
        <v>188</v>
      </c>
      <c r="CR22" s="93">
        <v>1</v>
      </c>
      <c r="CS22" s="93">
        <v>0</v>
      </c>
      <c r="CT22" s="93">
        <v>0</v>
      </c>
      <c r="CU22" s="356">
        <f t="shared" si="0"/>
        <v>34</v>
      </c>
      <c r="CW22" s="175" t="str">
        <f>IF(Mata_Pelajaran!E57&lt;&gt;"",Mata_Pelajaran!E57,"")</f>
        <v>PMR</v>
      </c>
      <c r="CY22" s="360">
        <f t="shared" si="1"/>
        <v>56.32648571428571</v>
      </c>
      <c r="CZ22" s="360">
        <f t="shared" si="2"/>
        <v>57.391295238095246</v>
      </c>
      <c r="DA22" s="359">
        <f t="shared" si="3"/>
        <v>113.71778095238096</v>
      </c>
    </row>
    <row r="23" spans="2:105" x14ac:dyDescent="0.25">
      <c r="B23" s="218">
        <v>19</v>
      </c>
      <c r="C23" s="219" t="str">
        <f>Peserta_Didik!D21</f>
        <v>1314.10.125</v>
      </c>
      <c r="D23" s="220" t="str">
        <f>Peserta_Didik!C21</f>
        <v>Kharismauli Cindi Cenora BR Limbong</v>
      </c>
      <c r="E23" s="222">
        <v>3.0559999999999996</v>
      </c>
      <c r="F23" s="222">
        <v>3.1</v>
      </c>
      <c r="G23" s="223" t="s">
        <v>311</v>
      </c>
      <c r="H23" s="222">
        <v>3.2</v>
      </c>
      <c r="I23" s="222">
        <v>3.4</v>
      </c>
      <c r="J23" s="223" t="s">
        <v>311</v>
      </c>
      <c r="K23" s="222">
        <v>3.6719999999999997</v>
      </c>
      <c r="L23" s="222">
        <v>3.4</v>
      </c>
      <c r="M23" s="223" t="s">
        <v>311</v>
      </c>
      <c r="N23" s="222">
        <v>2.5431428571428567</v>
      </c>
      <c r="O23" s="222">
        <v>2.5657142857142854</v>
      </c>
      <c r="P23" s="223" t="s">
        <v>311</v>
      </c>
      <c r="Q23" s="222">
        <v>3.1519999999999997</v>
      </c>
      <c r="R23" s="222">
        <v>3.2133333333333329</v>
      </c>
      <c r="S23" s="223" t="s">
        <v>311</v>
      </c>
      <c r="T23" s="222">
        <v>3.2640000000000002</v>
      </c>
      <c r="U23" s="222">
        <v>3.2239999999999998</v>
      </c>
      <c r="V23" s="223" t="s">
        <v>311</v>
      </c>
      <c r="W23" s="222">
        <v>3.5231999999999992</v>
      </c>
      <c r="X23" s="222">
        <v>3.5439999999999996</v>
      </c>
      <c r="Y23" s="223" t="s">
        <v>311</v>
      </c>
      <c r="Z23" s="222">
        <v>3.2</v>
      </c>
      <c r="AA23" s="222">
        <v>3.395</v>
      </c>
      <c r="AB23" s="223" t="s">
        <v>311</v>
      </c>
      <c r="AC23" s="222">
        <v>3.2319999999999998</v>
      </c>
      <c r="AD23" s="222">
        <v>3.24</v>
      </c>
      <c r="AE23" s="223" t="s">
        <v>311</v>
      </c>
      <c r="AF23" s="222">
        <v>2.9039999999999999</v>
      </c>
      <c r="AG23" s="222">
        <v>3.05</v>
      </c>
      <c r="AH23" s="223" t="s">
        <v>311</v>
      </c>
      <c r="AI23" s="222">
        <v>3.0255999999999998</v>
      </c>
      <c r="AJ23" s="222">
        <v>3.0960000000000001</v>
      </c>
      <c r="AK23" s="223" t="s">
        <v>311</v>
      </c>
      <c r="AL23" s="223"/>
      <c r="AM23" s="222"/>
      <c r="AN23" s="223"/>
      <c r="AO23" s="223"/>
      <c r="AP23" s="223"/>
      <c r="AQ23" s="223"/>
      <c r="AR23" s="223"/>
      <c r="AS23" s="223"/>
      <c r="AT23" s="223"/>
      <c r="AU23" s="223"/>
      <c r="AV23" s="223"/>
      <c r="AW23" s="223"/>
      <c r="AX23" s="222">
        <v>3.2</v>
      </c>
      <c r="AY23" s="222">
        <v>3.4</v>
      </c>
      <c r="AZ23" s="223" t="s">
        <v>311</v>
      </c>
      <c r="BA23" s="222">
        <v>3.0239999999999996</v>
      </c>
      <c r="BB23" s="222">
        <v>3.08</v>
      </c>
      <c r="BC23" s="223" t="s">
        <v>311</v>
      </c>
      <c r="BD23" s="222">
        <v>3.1419999999999999</v>
      </c>
      <c r="BE23" s="222">
        <v>3.2431999999999999</v>
      </c>
      <c r="BF23" s="223" t="s">
        <v>311</v>
      </c>
      <c r="BG23" s="222">
        <v>2.8266666666666662</v>
      </c>
      <c r="BH23" s="222">
        <v>2.8666666666666663</v>
      </c>
      <c r="BI23" s="223" t="s">
        <v>311</v>
      </c>
      <c r="BJ23" s="222">
        <v>2.76</v>
      </c>
      <c r="BK23" s="222">
        <v>2.85</v>
      </c>
      <c r="BL23" s="223" t="s">
        <v>311</v>
      </c>
      <c r="BM23" s="222">
        <v>3.0879999999999996</v>
      </c>
      <c r="BN23" s="222">
        <v>3.2280000000000002</v>
      </c>
      <c r="BO23" s="223" t="s">
        <v>311</v>
      </c>
      <c r="BP23" s="223"/>
      <c r="BQ23" s="223"/>
      <c r="BR23" s="223"/>
      <c r="BS23" s="223"/>
      <c r="BT23" s="223"/>
      <c r="BU23" s="223"/>
      <c r="BV23" s="223"/>
      <c r="BW23" s="223"/>
      <c r="BX23" s="223"/>
      <c r="BY23" s="223"/>
      <c r="BZ23" s="223"/>
      <c r="CA23" s="223"/>
      <c r="CB23" s="223"/>
      <c r="CC23" s="223"/>
      <c r="CD23" s="223"/>
      <c r="CE23" s="223"/>
      <c r="CF23" s="223"/>
      <c r="CG23" s="223"/>
      <c r="CH23" s="222">
        <v>3.4266666666666663</v>
      </c>
      <c r="CI23" s="222">
        <v>3.54</v>
      </c>
      <c r="CJ23" s="223" t="s">
        <v>311</v>
      </c>
      <c r="CK23" s="223"/>
      <c r="CL23" s="223"/>
      <c r="CM23" s="223"/>
      <c r="CN23" s="208" t="s">
        <v>258</v>
      </c>
      <c r="CO23" s="224"/>
      <c r="CP23" s="208" t="s">
        <v>258</v>
      </c>
      <c r="CQ23" s="224"/>
      <c r="CR23" s="93">
        <v>0</v>
      </c>
      <c r="CS23" s="93">
        <v>1</v>
      </c>
      <c r="CT23" s="93">
        <v>0</v>
      </c>
      <c r="CU23" s="356">
        <f t="shared" si="0"/>
        <v>35</v>
      </c>
      <c r="CW23" s="175" t="str">
        <f>IF(Mata_Pelajaran!E58&lt;&gt;"",Mata_Pelajaran!E58,"")</f>
        <v>DKM</v>
      </c>
      <c r="CY23" s="360">
        <f t="shared" si="1"/>
        <v>56.239276190476197</v>
      </c>
      <c r="CZ23" s="360">
        <f t="shared" si="2"/>
        <v>57.435914285714283</v>
      </c>
      <c r="DA23" s="359">
        <f t="shared" si="3"/>
        <v>113.67519047619048</v>
      </c>
    </row>
    <row r="24" spans="2:105" x14ac:dyDescent="0.25">
      <c r="B24" s="218">
        <v>20</v>
      </c>
      <c r="C24" s="219" t="str">
        <f>Peserta_Didik!D22</f>
        <v>1314.10.126</v>
      </c>
      <c r="D24" s="220" t="str">
        <f>Peserta_Didik!C22</f>
        <v>Lalan Maulana Yusup</v>
      </c>
      <c r="E24" s="222">
        <v>3.24</v>
      </c>
      <c r="F24" s="222">
        <v>3.3</v>
      </c>
      <c r="G24" s="223" t="s">
        <v>311</v>
      </c>
      <c r="H24" s="222">
        <v>3.016</v>
      </c>
      <c r="I24" s="222">
        <v>3.37</v>
      </c>
      <c r="J24" s="223" t="s">
        <v>311</v>
      </c>
      <c r="K24" s="222">
        <v>3.6720000000000006</v>
      </c>
      <c r="L24" s="222">
        <v>3.2</v>
      </c>
      <c r="M24" s="223" t="s">
        <v>311</v>
      </c>
      <c r="N24" s="222">
        <v>2.5869999999999997</v>
      </c>
      <c r="O24" s="222">
        <v>2.6826666666666665</v>
      </c>
      <c r="P24" s="223" t="s">
        <v>311</v>
      </c>
      <c r="Q24" s="222">
        <v>3.2919999999999998</v>
      </c>
      <c r="R24" s="222">
        <v>3.2333333333333329</v>
      </c>
      <c r="S24" s="223" t="s">
        <v>311</v>
      </c>
      <c r="T24" s="222">
        <v>3.2640000000000002</v>
      </c>
      <c r="U24" s="222">
        <v>3.2239999999999998</v>
      </c>
      <c r="V24" s="223" t="s">
        <v>311</v>
      </c>
      <c r="W24" s="222">
        <v>3.3648000000000002</v>
      </c>
      <c r="X24" s="222">
        <v>3.34</v>
      </c>
      <c r="Y24" s="223" t="s">
        <v>311</v>
      </c>
      <c r="Z24" s="222">
        <v>3.52</v>
      </c>
      <c r="AA24" s="222">
        <v>3.1889999999999996</v>
      </c>
      <c r="AB24" s="223" t="s">
        <v>311</v>
      </c>
      <c r="AC24" s="222">
        <v>3.1919999999999997</v>
      </c>
      <c r="AD24" s="222">
        <v>3.24</v>
      </c>
      <c r="AE24" s="223" t="s">
        <v>311</v>
      </c>
      <c r="AF24" s="222">
        <v>2.8889999999999998</v>
      </c>
      <c r="AG24" s="222">
        <v>3</v>
      </c>
      <c r="AH24" s="223" t="s">
        <v>311</v>
      </c>
      <c r="AI24" s="222">
        <v>3.0350000000000001</v>
      </c>
      <c r="AJ24" s="222">
        <v>3.0960000000000001</v>
      </c>
      <c r="AK24" s="223" t="s">
        <v>311</v>
      </c>
      <c r="AL24" s="223"/>
      <c r="AM24" s="222"/>
      <c r="AN24" s="223"/>
      <c r="AO24" s="223"/>
      <c r="AP24" s="223"/>
      <c r="AQ24" s="223"/>
      <c r="AR24" s="223"/>
      <c r="AS24" s="223"/>
      <c r="AT24" s="223"/>
      <c r="AU24" s="223"/>
      <c r="AV24" s="223"/>
      <c r="AW24" s="223"/>
      <c r="AX24" s="222">
        <v>3.016</v>
      </c>
      <c r="AY24" s="222">
        <v>3.37</v>
      </c>
      <c r="AZ24" s="223" t="s">
        <v>311</v>
      </c>
      <c r="BA24" s="222">
        <v>3.052</v>
      </c>
      <c r="BB24" s="222">
        <v>3.1280000000000001</v>
      </c>
      <c r="BC24" s="223" t="s">
        <v>311</v>
      </c>
      <c r="BD24" s="222">
        <v>3.198</v>
      </c>
      <c r="BE24" s="222">
        <v>3.1880000000000002</v>
      </c>
      <c r="BF24" s="223" t="s">
        <v>311</v>
      </c>
      <c r="BG24" s="222">
        <v>2.968</v>
      </c>
      <c r="BH24" s="222">
        <v>2.88</v>
      </c>
      <c r="BI24" s="223" t="s">
        <v>311</v>
      </c>
      <c r="BJ24" s="222">
        <v>2.84</v>
      </c>
      <c r="BK24" s="222">
        <v>2.9</v>
      </c>
      <c r="BL24" s="223" t="s">
        <v>311</v>
      </c>
      <c r="BM24" s="222">
        <v>3.0880000000000001</v>
      </c>
      <c r="BN24" s="222">
        <v>3.1739999999999999</v>
      </c>
      <c r="BO24" s="223" t="s">
        <v>311</v>
      </c>
      <c r="BP24" s="223"/>
      <c r="BQ24" s="223"/>
      <c r="BR24" s="223"/>
      <c r="BS24" s="223"/>
      <c r="BT24" s="223"/>
      <c r="BU24" s="223"/>
      <c r="BV24" s="223"/>
      <c r="BW24" s="223"/>
      <c r="BX24" s="223"/>
      <c r="BY24" s="223"/>
      <c r="BZ24" s="223"/>
      <c r="CA24" s="223"/>
      <c r="CB24" s="223"/>
      <c r="CC24" s="223"/>
      <c r="CD24" s="223"/>
      <c r="CE24" s="223"/>
      <c r="CF24" s="223"/>
      <c r="CG24" s="223"/>
      <c r="CH24" s="222">
        <v>3.4466666666666663</v>
      </c>
      <c r="CI24" s="222">
        <v>3.54</v>
      </c>
      <c r="CJ24" s="223" t="s">
        <v>311</v>
      </c>
      <c r="CK24" s="223"/>
      <c r="CL24" s="223"/>
      <c r="CM24" s="223"/>
      <c r="CN24" s="208" t="s">
        <v>258</v>
      </c>
      <c r="CO24" s="224"/>
      <c r="CP24" s="208" t="s">
        <v>258</v>
      </c>
      <c r="CQ24" s="224"/>
      <c r="CR24" s="93">
        <v>5</v>
      </c>
      <c r="CS24" s="93">
        <v>1</v>
      </c>
      <c r="CT24" s="93">
        <v>5</v>
      </c>
      <c r="CU24" s="356">
        <f t="shared" si="0"/>
        <v>33</v>
      </c>
      <c r="CW24" s="175" t="str">
        <f>IF(Mata_Pelajaran!E59&lt;&gt;"",Mata_Pelajaran!E59,"")</f>
        <v>Rohis</v>
      </c>
      <c r="CY24" s="360">
        <f t="shared" si="1"/>
        <v>56.680466666666661</v>
      </c>
      <c r="CZ24" s="360">
        <f t="shared" si="2"/>
        <v>57.055</v>
      </c>
      <c r="DA24" s="359">
        <f t="shared" si="3"/>
        <v>113.73546666666667</v>
      </c>
    </row>
    <row r="25" spans="2:105" x14ac:dyDescent="0.25">
      <c r="B25" s="218">
        <v>21</v>
      </c>
      <c r="C25" s="219" t="str">
        <f>Peserta_Didik!D23</f>
        <v>1314.10.127</v>
      </c>
      <c r="D25" s="220" t="str">
        <f>Peserta_Didik!C23</f>
        <v>Leni Yuniar</v>
      </c>
      <c r="E25" s="222">
        <v>3.2960000000000003</v>
      </c>
      <c r="F25" s="222">
        <v>3.48</v>
      </c>
      <c r="G25" s="223" t="s">
        <v>311</v>
      </c>
      <c r="H25" s="222">
        <v>3.1760000000000002</v>
      </c>
      <c r="I25" s="222">
        <v>3.4</v>
      </c>
      <c r="J25" s="223" t="s">
        <v>311</v>
      </c>
      <c r="K25" s="222">
        <v>3.6720000000000006</v>
      </c>
      <c r="L25" s="222">
        <v>3.4</v>
      </c>
      <c r="M25" s="223" t="s">
        <v>311</v>
      </c>
      <c r="N25" s="222">
        <v>2.6222857142857148</v>
      </c>
      <c r="O25" s="222">
        <v>2.7234285714285718</v>
      </c>
      <c r="P25" s="223" t="s">
        <v>311</v>
      </c>
      <c r="Q25" s="222">
        <v>3.1813333333333333</v>
      </c>
      <c r="R25" s="222">
        <v>3.186666666666667</v>
      </c>
      <c r="S25" s="223" t="s">
        <v>311</v>
      </c>
      <c r="T25" s="222">
        <v>3.2640000000000002</v>
      </c>
      <c r="U25" s="222">
        <v>3.2239999999999998</v>
      </c>
      <c r="V25" s="223" t="s">
        <v>311</v>
      </c>
      <c r="W25" s="222">
        <v>3.3231999999999999</v>
      </c>
      <c r="X25" s="222">
        <v>3.2960000000000003</v>
      </c>
      <c r="Y25" s="223" t="s">
        <v>311</v>
      </c>
      <c r="Z25" s="222">
        <v>3.04</v>
      </c>
      <c r="AA25" s="222">
        <v>3.2589999999999999</v>
      </c>
      <c r="AB25" s="223" t="s">
        <v>311</v>
      </c>
      <c r="AC25" s="222">
        <v>3.2</v>
      </c>
      <c r="AD25" s="222">
        <v>3.28</v>
      </c>
      <c r="AE25" s="223" t="s">
        <v>311</v>
      </c>
      <c r="AF25" s="222">
        <v>2.988</v>
      </c>
      <c r="AG25" s="222">
        <v>3.08</v>
      </c>
      <c r="AH25" s="223" t="s">
        <v>736</v>
      </c>
      <c r="AI25" s="222">
        <v>3.0716000000000001</v>
      </c>
      <c r="AJ25" s="222">
        <v>3.1920000000000006</v>
      </c>
      <c r="AK25" s="223" t="s">
        <v>311</v>
      </c>
      <c r="AL25" s="223"/>
      <c r="AM25" s="223"/>
      <c r="AN25" s="223"/>
      <c r="AO25" s="223"/>
      <c r="AP25" s="223"/>
      <c r="AQ25" s="223"/>
      <c r="AR25" s="223"/>
      <c r="AS25" s="223"/>
      <c r="AT25" s="223"/>
      <c r="AU25" s="223"/>
      <c r="AV25" s="223"/>
      <c r="AW25" s="223"/>
      <c r="AX25" s="222">
        <v>3.1760000000000002</v>
      </c>
      <c r="AY25" s="222">
        <v>3.4</v>
      </c>
      <c r="AZ25" s="223" t="s">
        <v>311</v>
      </c>
      <c r="BA25" s="222">
        <v>3.2</v>
      </c>
      <c r="BB25" s="222">
        <v>3.1280000000000001</v>
      </c>
      <c r="BC25" s="223" t="s">
        <v>311</v>
      </c>
      <c r="BD25" s="222">
        <v>3.2319999999999998</v>
      </c>
      <c r="BE25" s="222">
        <v>3.2395999999999998</v>
      </c>
      <c r="BF25" s="223" t="s">
        <v>311</v>
      </c>
      <c r="BG25" s="222">
        <v>2.9279999999999999</v>
      </c>
      <c r="BH25" s="222">
        <v>2.88</v>
      </c>
      <c r="BI25" s="223" t="s">
        <v>311</v>
      </c>
      <c r="BJ25" s="222">
        <v>2.76</v>
      </c>
      <c r="BK25" s="222">
        <v>2.85</v>
      </c>
      <c r="BL25" s="223" t="s">
        <v>311</v>
      </c>
      <c r="BM25" s="222">
        <v>3.2280000000000002</v>
      </c>
      <c r="BN25" s="222">
        <v>3.262</v>
      </c>
      <c r="BO25" s="223" t="s">
        <v>311</v>
      </c>
      <c r="BP25" s="222"/>
      <c r="BQ25" s="222"/>
      <c r="BR25" s="223"/>
      <c r="BS25" s="222"/>
      <c r="BT25" s="222"/>
      <c r="BU25" s="223"/>
      <c r="BV25" s="222"/>
      <c r="BW25" s="222"/>
      <c r="BX25" s="223"/>
      <c r="BY25" s="223"/>
      <c r="BZ25" s="223"/>
      <c r="CA25" s="223"/>
      <c r="CB25" s="223"/>
      <c r="CC25" s="223"/>
      <c r="CD25" s="223"/>
      <c r="CE25" s="223"/>
      <c r="CF25" s="223"/>
      <c r="CG25" s="223"/>
      <c r="CH25" s="222">
        <v>3.5333333333333337</v>
      </c>
      <c r="CI25" s="222">
        <v>3.6</v>
      </c>
      <c r="CJ25" s="223" t="s">
        <v>311</v>
      </c>
      <c r="CK25" s="222"/>
      <c r="CL25" s="222"/>
      <c r="CM25" s="223"/>
      <c r="CN25" s="208" t="s">
        <v>258</v>
      </c>
      <c r="CO25" s="224"/>
      <c r="CP25" s="208" t="s">
        <v>258</v>
      </c>
      <c r="CQ25" s="224"/>
      <c r="CR25" s="93">
        <v>1</v>
      </c>
      <c r="CS25" s="93">
        <v>2</v>
      </c>
      <c r="CT25" s="93">
        <v>0</v>
      </c>
      <c r="CU25" s="356">
        <f t="shared" si="0"/>
        <v>24</v>
      </c>
      <c r="CW25" s="175" t="str">
        <f>IF(Mata_Pelajaran!E60&lt;&gt;"",Mata_Pelajaran!E60,"")</f>
        <v>PD</v>
      </c>
      <c r="CY25" s="360">
        <f t="shared" si="1"/>
        <v>56.891752380952383</v>
      </c>
      <c r="CZ25" s="360">
        <f t="shared" si="2"/>
        <v>57.88069523809525</v>
      </c>
      <c r="DA25" s="359">
        <f t="shared" si="3"/>
        <v>114.77244761904763</v>
      </c>
    </row>
    <row r="26" spans="2:105" x14ac:dyDescent="0.25">
      <c r="B26" s="218">
        <v>22</v>
      </c>
      <c r="C26" s="219" t="str">
        <f>Peserta_Didik!D24</f>
        <v>1314.10.128</v>
      </c>
      <c r="D26" s="220" t="str">
        <f>Peserta_Didik!C24</f>
        <v>Mochamad Fanny Luthfiana</v>
      </c>
      <c r="E26" s="222">
        <v>3.4960000000000004</v>
      </c>
      <c r="F26" s="222">
        <v>3.5</v>
      </c>
      <c r="G26" s="223" t="s">
        <v>311</v>
      </c>
      <c r="H26" s="222">
        <v>3.1759999999999997</v>
      </c>
      <c r="I26" s="222">
        <v>3.4</v>
      </c>
      <c r="J26" s="223" t="s">
        <v>311</v>
      </c>
      <c r="K26" s="222">
        <v>3.3439999999999999</v>
      </c>
      <c r="L26" s="222">
        <v>3.2</v>
      </c>
      <c r="M26" s="223" t="s">
        <v>311</v>
      </c>
      <c r="N26" s="222">
        <v>2.5804285714285715</v>
      </c>
      <c r="O26" s="222">
        <v>2.6118095238095242</v>
      </c>
      <c r="P26" s="223" t="s">
        <v>311</v>
      </c>
      <c r="Q26" s="222">
        <v>3.4293333333333327</v>
      </c>
      <c r="R26" s="222">
        <v>3.3466666666666667</v>
      </c>
      <c r="S26" s="223" t="s">
        <v>311</v>
      </c>
      <c r="T26" s="222">
        <v>3.2640000000000002</v>
      </c>
      <c r="U26" s="222">
        <v>3.2239999999999998</v>
      </c>
      <c r="V26" s="223" t="s">
        <v>311</v>
      </c>
      <c r="W26" s="222">
        <v>3.2240000000000002</v>
      </c>
      <c r="X26" s="222">
        <v>3.2480000000000002</v>
      </c>
      <c r="Y26" s="223" t="s">
        <v>311</v>
      </c>
      <c r="Z26" s="222">
        <v>3.44</v>
      </c>
      <c r="AA26" s="222">
        <v>3.21</v>
      </c>
      <c r="AB26" s="223" t="s">
        <v>311</v>
      </c>
      <c r="AC26" s="222">
        <v>3.1919999999999997</v>
      </c>
      <c r="AD26" s="222">
        <v>3.24</v>
      </c>
      <c r="AE26" s="223" t="s">
        <v>311</v>
      </c>
      <c r="AF26" s="222">
        <v>2.9510000000000001</v>
      </c>
      <c r="AG26" s="222">
        <v>3.06</v>
      </c>
      <c r="AH26" s="223" t="s">
        <v>311</v>
      </c>
      <c r="AI26" s="222">
        <v>3.1879999999999997</v>
      </c>
      <c r="AJ26" s="222">
        <v>3.28</v>
      </c>
      <c r="AK26" s="223" t="s">
        <v>311</v>
      </c>
      <c r="AL26" s="223"/>
      <c r="AM26" s="223"/>
      <c r="AN26" s="223"/>
      <c r="AO26" s="223"/>
      <c r="AP26" s="223"/>
      <c r="AQ26" s="223"/>
      <c r="AR26" s="223"/>
      <c r="AS26" s="223"/>
      <c r="AT26" s="223"/>
      <c r="AU26" s="223"/>
      <c r="AV26" s="223"/>
      <c r="AW26" s="223"/>
      <c r="AX26" s="222">
        <v>3.1759999999999997</v>
      </c>
      <c r="AY26" s="222">
        <v>3.4</v>
      </c>
      <c r="AZ26" s="223" t="s">
        <v>311</v>
      </c>
      <c r="BA26" s="222">
        <v>3.24</v>
      </c>
      <c r="BB26" s="222">
        <v>3.28</v>
      </c>
      <c r="BC26" s="223" t="s">
        <v>311</v>
      </c>
      <c r="BD26" s="222">
        <v>3.262</v>
      </c>
      <c r="BE26" s="222">
        <v>3.4560000000000004</v>
      </c>
      <c r="BF26" s="223" t="s">
        <v>736</v>
      </c>
      <c r="BG26" s="222">
        <v>2.88</v>
      </c>
      <c r="BH26" s="222">
        <v>2.9</v>
      </c>
      <c r="BI26" s="223" t="s">
        <v>311</v>
      </c>
      <c r="BJ26" s="222">
        <v>3</v>
      </c>
      <c r="BK26" s="222">
        <v>3.24</v>
      </c>
      <c r="BL26" s="223" t="s">
        <v>311</v>
      </c>
      <c r="BM26" s="222">
        <v>3.3879999999999995</v>
      </c>
      <c r="BN26" s="222">
        <v>3.3339999999999996</v>
      </c>
      <c r="BO26" s="223" t="s">
        <v>736</v>
      </c>
      <c r="BP26" s="222"/>
      <c r="BQ26" s="222"/>
      <c r="BR26" s="223"/>
      <c r="BS26" s="222"/>
      <c r="BT26" s="222"/>
      <c r="BU26" s="223"/>
      <c r="BV26" s="222"/>
      <c r="BW26" s="222"/>
      <c r="BX26" s="223"/>
      <c r="BY26" s="223"/>
      <c r="BZ26" s="223"/>
      <c r="CA26" s="223"/>
      <c r="CB26" s="223"/>
      <c r="CC26" s="223"/>
      <c r="CD26" s="223"/>
      <c r="CE26" s="223"/>
      <c r="CF26" s="223"/>
      <c r="CG26" s="223"/>
      <c r="CH26" s="222">
        <v>3.5466666666666664</v>
      </c>
      <c r="CI26" s="222">
        <v>3.64</v>
      </c>
      <c r="CJ26" s="223" t="s">
        <v>311</v>
      </c>
      <c r="CK26" s="222"/>
      <c r="CL26" s="222"/>
      <c r="CM26" s="223"/>
      <c r="CN26" s="208" t="s">
        <v>258</v>
      </c>
      <c r="CO26" s="224"/>
      <c r="CP26" s="208" t="s">
        <v>258</v>
      </c>
      <c r="CQ26" s="224"/>
      <c r="CR26" s="93">
        <v>0</v>
      </c>
      <c r="CS26" s="93">
        <v>0</v>
      </c>
      <c r="CT26" s="93">
        <v>0</v>
      </c>
      <c r="CU26" s="356">
        <f t="shared" si="0"/>
        <v>10</v>
      </c>
      <c r="CW26" s="175" t="str">
        <f>IF(Mata_Pelajaran!E61&lt;&gt;"",Mata_Pelajaran!E61,"")</f>
        <v>CP</v>
      </c>
      <c r="CY26" s="360">
        <f t="shared" si="1"/>
        <v>57.77742857142858</v>
      </c>
      <c r="CZ26" s="360">
        <f t="shared" si="2"/>
        <v>58.570476190476199</v>
      </c>
      <c r="DA26" s="359">
        <f t="shared" si="3"/>
        <v>116.34790476190477</v>
      </c>
    </row>
    <row r="27" spans="2:105" x14ac:dyDescent="0.25">
      <c r="B27" s="218">
        <v>23</v>
      </c>
      <c r="C27" s="219" t="str">
        <f>Peserta_Didik!D25</f>
        <v>1314.10.129</v>
      </c>
      <c r="D27" s="220" t="str">
        <f>Peserta_Didik!C25</f>
        <v>Mochammad Rofiq Sofyan</v>
      </c>
      <c r="E27" s="222">
        <v>3.472</v>
      </c>
      <c r="F27" s="222">
        <v>3.54</v>
      </c>
      <c r="G27" s="223" t="s">
        <v>311</v>
      </c>
      <c r="H27" s="222">
        <v>3.04</v>
      </c>
      <c r="I27" s="222">
        <v>3.32</v>
      </c>
      <c r="J27" s="223" t="s">
        <v>311</v>
      </c>
      <c r="K27" s="222">
        <v>3.3439999999999999</v>
      </c>
      <c r="L27" s="222">
        <v>3.2</v>
      </c>
      <c r="M27" s="223" t="s">
        <v>311</v>
      </c>
      <c r="N27" s="222">
        <v>2.6628571428571428</v>
      </c>
      <c r="O27" s="222">
        <v>2.7916190476190472</v>
      </c>
      <c r="P27" s="223" t="s">
        <v>311</v>
      </c>
      <c r="Q27" s="222">
        <v>3.2239999999999998</v>
      </c>
      <c r="R27" s="222">
        <v>3.12</v>
      </c>
      <c r="S27" s="223" t="s">
        <v>311</v>
      </c>
      <c r="T27" s="222">
        <v>3.2640000000000002</v>
      </c>
      <c r="U27" s="222">
        <v>3.2239999999999998</v>
      </c>
      <c r="V27" s="223" t="s">
        <v>311</v>
      </c>
      <c r="W27" s="222">
        <v>3.2240000000000002</v>
      </c>
      <c r="X27" s="222">
        <v>3.2480000000000002</v>
      </c>
      <c r="Y27" s="223" t="s">
        <v>311</v>
      </c>
      <c r="Z27" s="222">
        <v>3.04</v>
      </c>
      <c r="AA27" s="222">
        <v>3.1180000000000003</v>
      </c>
      <c r="AB27" s="223" t="s">
        <v>311</v>
      </c>
      <c r="AC27" s="222">
        <v>3.1919999999999997</v>
      </c>
      <c r="AD27" s="222">
        <v>3.24</v>
      </c>
      <c r="AE27" s="223" t="s">
        <v>311</v>
      </c>
      <c r="AF27" s="222">
        <v>2.8710000000000004</v>
      </c>
      <c r="AG27" s="222">
        <v>3.05</v>
      </c>
      <c r="AH27" s="223" t="s">
        <v>311</v>
      </c>
      <c r="AI27" s="222">
        <v>3.18</v>
      </c>
      <c r="AJ27" s="222">
        <v>3.2480000000000002</v>
      </c>
      <c r="AK27" s="223" t="s">
        <v>311</v>
      </c>
      <c r="AL27" s="222"/>
      <c r="AM27" s="222"/>
      <c r="AN27" s="223"/>
      <c r="AO27" s="223"/>
      <c r="AP27" s="223"/>
      <c r="AQ27" s="223"/>
      <c r="AR27" s="223"/>
      <c r="AS27" s="223"/>
      <c r="AT27" s="223"/>
      <c r="AU27" s="223"/>
      <c r="AV27" s="223"/>
      <c r="AW27" s="223"/>
      <c r="AX27" s="222">
        <v>3.04</v>
      </c>
      <c r="AY27" s="222">
        <v>3.32</v>
      </c>
      <c r="AZ27" s="223" t="s">
        <v>311</v>
      </c>
      <c r="BA27" s="222">
        <v>3.1294</v>
      </c>
      <c r="BB27" s="222">
        <v>3.2480000000000002</v>
      </c>
      <c r="BC27" s="223" t="s">
        <v>311</v>
      </c>
      <c r="BD27" s="222">
        <v>3.1719999999999997</v>
      </c>
      <c r="BE27" s="222">
        <v>3.1796000000000002</v>
      </c>
      <c r="BF27" s="223" t="s">
        <v>311</v>
      </c>
      <c r="BG27" s="222">
        <v>2.9279999999999999</v>
      </c>
      <c r="BH27" s="222">
        <v>2.88</v>
      </c>
      <c r="BI27" s="223" t="s">
        <v>311</v>
      </c>
      <c r="BJ27" s="222">
        <v>2.92</v>
      </c>
      <c r="BK27" s="222">
        <v>2.95</v>
      </c>
      <c r="BL27" s="223" t="s">
        <v>311</v>
      </c>
      <c r="BM27" s="222">
        <v>3.2880000000000003</v>
      </c>
      <c r="BN27" s="222">
        <v>3.242</v>
      </c>
      <c r="BO27" s="223" t="s">
        <v>311</v>
      </c>
      <c r="BP27" s="222"/>
      <c r="BQ27" s="222"/>
      <c r="BR27" s="223"/>
      <c r="BS27" s="222"/>
      <c r="BT27" s="222"/>
      <c r="BU27" s="223"/>
      <c r="BV27" s="222"/>
      <c r="BW27" s="222"/>
      <c r="BX27" s="223"/>
      <c r="BY27" s="223"/>
      <c r="BZ27" s="223"/>
      <c r="CA27" s="223"/>
      <c r="CB27" s="223"/>
      <c r="CC27" s="223"/>
      <c r="CD27" s="223"/>
      <c r="CE27" s="223"/>
      <c r="CF27" s="223"/>
      <c r="CG27" s="223"/>
      <c r="CH27" s="222">
        <v>3.5266666666666664</v>
      </c>
      <c r="CI27" s="222">
        <v>3.54</v>
      </c>
      <c r="CJ27" s="223" t="s">
        <v>311</v>
      </c>
      <c r="CK27" s="222"/>
      <c r="CL27" s="222"/>
      <c r="CM27" s="223"/>
      <c r="CN27" s="208" t="s">
        <v>258</v>
      </c>
      <c r="CO27" s="224"/>
      <c r="CP27" s="208" t="s">
        <v>832</v>
      </c>
      <c r="CQ27" s="224" t="s">
        <v>311</v>
      </c>
      <c r="CR27" s="93">
        <v>2</v>
      </c>
      <c r="CS27" s="93">
        <v>0</v>
      </c>
      <c r="CT27" s="93">
        <v>1</v>
      </c>
      <c r="CU27" s="356">
        <f t="shared" si="0"/>
        <v>32</v>
      </c>
      <c r="CW27" s="175" t="str">
        <f>IF(Mata_Pelajaran!E62&lt;&gt;"",Mata_Pelajaran!E62,"")</f>
        <v>ESC</v>
      </c>
      <c r="CY27" s="360">
        <f t="shared" si="1"/>
        <v>56.517923809523801</v>
      </c>
      <c r="CZ27" s="360">
        <f t="shared" si="2"/>
        <v>57.459219047619051</v>
      </c>
      <c r="DA27" s="359">
        <f t="shared" si="3"/>
        <v>113.97714285714285</v>
      </c>
    </row>
    <row r="28" spans="2:105" x14ac:dyDescent="0.25">
      <c r="B28" s="218">
        <v>24</v>
      </c>
      <c r="C28" s="219" t="str">
        <f>Peserta_Didik!D26</f>
        <v>1314.10.130</v>
      </c>
      <c r="D28" s="220" t="str">
        <f>Peserta_Didik!C26</f>
        <v>Muhamad Rifki</v>
      </c>
      <c r="E28" s="222">
        <v>3.4960000000000004</v>
      </c>
      <c r="F28" s="222">
        <v>3.58</v>
      </c>
      <c r="G28" s="223" t="s">
        <v>311</v>
      </c>
      <c r="H28" s="222">
        <v>3.0720000000000001</v>
      </c>
      <c r="I28" s="222">
        <v>3.4</v>
      </c>
      <c r="J28" s="223" t="s">
        <v>311</v>
      </c>
      <c r="K28" s="222">
        <v>3.3439999999999999</v>
      </c>
      <c r="L28" s="222">
        <v>3.4</v>
      </c>
      <c r="M28" s="223" t="s">
        <v>311</v>
      </c>
      <c r="N28" s="222">
        <v>2.8107142857142855</v>
      </c>
      <c r="O28" s="222">
        <v>2.905904761904762</v>
      </c>
      <c r="P28" s="223" t="s">
        <v>311</v>
      </c>
      <c r="Q28" s="222">
        <v>3.2919999999999998</v>
      </c>
      <c r="R28" s="222">
        <v>3.1533333333333333</v>
      </c>
      <c r="S28" s="223" t="s">
        <v>311</v>
      </c>
      <c r="T28" s="222">
        <v>3.2639999999999998</v>
      </c>
      <c r="U28" s="222">
        <v>3.2239999999999998</v>
      </c>
      <c r="V28" s="223" t="s">
        <v>311</v>
      </c>
      <c r="W28" s="222">
        <v>3.2688000000000001</v>
      </c>
      <c r="X28" s="222">
        <v>3.3160000000000003</v>
      </c>
      <c r="Y28" s="223" t="s">
        <v>311</v>
      </c>
      <c r="Z28" s="222">
        <v>3.04</v>
      </c>
      <c r="AA28" s="222">
        <v>3.3730000000000002</v>
      </c>
      <c r="AB28" s="223" t="s">
        <v>311</v>
      </c>
      <c r="AC28" s="222">
        <v>3.1839999999999997</v>
      </c>
      <c r="AD28" s="222">
        <v>3.26</v>
      </c>
      <c r="AE28" s="223" t="s">
        <v>311</v>
      </c>
      <c r="AF28" s="222">
        <v>2.9489999999999998</v>
      </c>
      <c r="AG28" s="222">
        <v>3</v>
      </c>
      <c r="AH28" s="223" t="s">
        <v>311</v>
      </c>
      <c r="AI28" s="222">
        <v>3.1386000000000003</v>
      </c>
      <c r="AJ28" s="222">
        <v>3.2239999999999998</v>
      </c>
      <c r="AK28" s="223" t="s">
        <v>311</v>
      </c>
      <c r="AL28" s="222"/>
      <c r="AM28" s="222"/>
      <c r="AN28" s="223"/>
      <c r="AO28" s="223"/>
      <c r="AP28" s="223"/>
      <c r="AQ28" s="223"/>
      <c r="AR28" s="223"/>
      <c r="AS28" s="223"/>
      <c r="AT28" s="223"/>
      <c r="AU28" s="223"/>
      <c r="AV28" s="223"/>
      <c r="AW28" s="223"/>
      <c r="AX28" s="222">
        <v>3.0720000000000001</v>
      </c>
      <c r="AY28" s="222">
        <v>3.4</v>
      </c>
      <c r="AZ28" s="223" t="s">
        <v>311</v>
      </c>
      <c r="BA28" s="222">
        <v>3.2279999999999998</v>
      </c>
      <c r="BB28" s="222">
        <v>3.2080000000000002</v>
      </c>
      <c r="BC28" s="223" t="s">
        <v>311</v>
      </c>
      <c r="BD28" s="222">
        <v>3.222</v>
      </c>
      <c r="BE28" s="222">
        <v>3.2827999999999999</v>
      </c>
      <c r="BF28" s="223" t="s">
        <v>311</v>
      </c>
      <c r="BG28" s="222">
        <v>2.9973333333333336</v>
      </c>
      <c r="BH28" s="222">
        <v>3.0133333333333336</v>
      </c>
      <c r="BI28" s="223" t="s">
        <v>311</v>
      </c>
      <c r="BJ28" s="222">
        <v>2.92</v>
      </c>
      <c r="BK28" s="222">
        <v>3.25</v>
      </c>
      <c r="BL28" s="223" t="s">
        <v>311</v>
      </c>
      <c r="BM28" s="222">
        <v>3.2879999999999994</v>
      </c>
      <c r="BN28" s="222">
        <v>3.2160000000000002</v>
      </c>
      <c r="BO28" s="223" t="s">
        <v>311</v>
      </c>
      <c r="BP28" s="222"/>
      <c r="BQ28" s="222"/>
      <c r="BR28" s="223"/>
      <c r="BS28" s="222"/>
      <c r="BT28" s="222"/>
      <c r="BU28" s="223"/>
      <c r="BV28" s="222"/>
      <c r="BW28" s="222"/>
      <c r="BX28" s="223"/>
      <c r="BY28" s="223"/>
      <c r="BZ28" s="223"/>
      <c r="CA28" s="223"/>
      <c r="CB28" s="223"/>
      <c r="CC28" s="223"/>
      <c r="CD28" s="223"/>
      <c r="CE28" s="223"/>
      <c r="CF28" s="223"/>
      <c r="CG28" s="223"/>
      <c r="CH28" s="222">
        <v>3.5333333333333337</v>
      </c>
      <c r="CI28" s="222">
        <v>3.54</v>
      </c>
      <c r="CJ28" s="223" t="s">
        <v>311</v>
      </c>
      <c r="CK28" s="222"/>
      <c r="CL28" s="222"/>
      <c r="CM28" s="223"/>
      <c r="CN28" s="208" t="s">
        <v>258</v>
      </c>
      <c r="CO28" s="224"/>
      <c r="CP28" s="208" t="s">
        <v>832</v>
      </c>
      <c r="CQ28" s="224" t="s">
        <v>311</v>
      </c>
      <c r="CR28" s="93">
        <v>2</v>
      </c>
      <c r="CS28" s="93">
        <v>0</v>
      </c>
      <c r="CT28" s="93">
        <v>1</v>
      </c>
      <c r="CU28" s="356">
        <f t="shared" si="0"/>
        <v>15</v>
      </c>
      <c r="CY28" s="360">
        <f t="shared" si="1"/>
        <v>57.11978095238095</v>
      </c>
      <c r="CZ28" s="360">
        <f t="shared" si="2"/>
        <v>58.746371428571429</v>
      </c>
      <c r="DA28" s="359">
        <f t="shared" si="3"/>
        <v>115.86615238095237</v>
      </c>
    </row>
    <row r="29" spans="2:105" x14ac:dyDescent="0.25">
      <c r="B29" s="218">
        <v>25</v>
      </c>
      <c r="C29" s="219" t="str">
        <f>Peserta_Didik!D27</f>
        <v>1314.10.131</v>
      </c>
      <c r="D29" s="220" t="str">
        <f>Peserta_Didik!C27</f>
        <v>Muhammad Azka Ramadhan</v>
      </c>
      <c r="E29" s="222">
        <v>3.1680000000000001</v>
      </c>
      <c r="F29" s="222">
        <v>3.32</v>
      </c>
      <c r="G29" s="223" t="s">
        <v>311</v>
      </c>
      <c r="H29" s="222">
        <v>3.0880000000000001</v>
      </c>
      <c r="I29" s="222">
        <v>3.35</v>
      </c>
      <c r="J29" s="223" t="s">
        <v>311</v>
      </c>
      <c r="K29" s="222">
        <v>3.0960000000000001</v>
      </c>
      <c r="L29" s="222">
        <v>3.2</v>
      </c>
      <c r="M29" s="223" t="s">
        <v>311</v>
      </c>
      <c r="N29" s="222">
        <v>2.5114285714285716</v>
      </c>
      <c r="O29" s="222">
        <v>2.5611428571428569</v>
      </c>
      <c r="P29" s="223" t="s">
        <v>311</v>
      </c>
      <c r="Q29" s="222">
        <v>3.3213333333333335</v>
      </c>
      <c r="R29" s="222">
        <v>3.44</v>
      </c>
      <c r="S29" s="223" t="s">
        <v>311</v>
      </c>
      <c r="T29" s="222">
        <v>3.2639999999999998</v>
      </c>
      <c r="U29" s="222">
        <v>3.2239999999999998</v>
      </c>
      <c r="V29" s="223" t="s">
        <v>311</v>
      </c>
      <c r="W29" s="222">
        <v>3.2655999999999996</v>
      </c>
      <c r="X29" s="222">
        <v>3.2760000000000002</v>
      </c>
      <c r="Y29" s="223" t="s">
        <v>311</v>
      </c>
      <c r="Z29" s="222">
        <v>3.2</v>
      </c>
      <c r="AA29" s="222">
        <v>3.1180000000000003</v>
      </c>
      <c r="AB29" s="223" t="s">
        <v>311</v>
      </c>
      <c r="AC29" s="222">
        <v>3.1919999999999997</v>
      </c>
      <c r="AD29" s="222">
        <v>3.24</v>
      </c>
      <c r="AE29" s="223" t="s">
        <v>311</v>
      </c>
      <c r="AF29" s="222">
        <v>2.8710000000000004</v>
      </c>
      <c r="AG29" s="222">
        <v>3</v>
      </c>
      <c r="AH29" s="223" t="s">
        <v>311</v>
      </c>
      <c r="AI29" s="222">
        <v>3.1225999999999998</v>
      </c>
      <c r="AJ29" s="222">
        <v>3.1280000000000001</v>
      </c>
      <c r="AK29" s="223" t="s">
        <v>311</v>
      </c>
      <c r="AL29" s="222"/>
      <c r="AM29" s="222"/>
      <c r="AN29" s="223"/>
      <c r="AO29" s="223"/>
      <c r="AP29" s="223"/>
      <c r="AQ29" s="223"/>
      <c r="AR29" s="223"/>
      <c r="AS29" s="223"/>
      <c r="AT29" s="223"/>
      <c r="AU29" s="223"/>
      <c r="AV29" s="223"/>
      <c r="AW29" s="223"/>
      <c r="AX29" s="222">
        <v>3.0880000000000001</v>
      </c>
      <c r="AY29" s="222">
        <v>3.35</v>
      </c>
      <c r="AZ29" s="223" t="s">
        <v>311</v>
      </c>
      <c r="BA29" s="222">
        <v>3.0920000000000001</v>
      </c>
      <c r="BB29" s="222">
        <v>3.1839999999999997</v>
      </c>
      <c r="BC29" s="223" t="s">
        <v>311</v>
      </c>
      <c r="BD29" s="222">
        <v>3.218</v>
      </c>
      <c r="BE29" s="222">
        <v>3.2563999999999997</v>
      </c>
      <c r="BF29" s="223" t="s">
        <v>311</v>
      </c>
      <c r="BG29" s="222">
        <v>2.9279999999999999</v>
      </c>
      <c r="BH29" s="222">
        <v>2.68</v>
      </c>
      <c r="BI29" s="223" t="s">
        <v>311</v>
      </c>
      <c r="BJ29" s="222">
        <v>2.76</v>
      </c>
      <c r="BK29" s="222">
        <v>2.85</v>
      </c>
      <c r="BL29" s="223" t="s">
        <v>311</v>
      </c>
      <c r="BM29" s="222">
        <v>3.2880000000000003</v>
      </c>
      <c r="BN29" s="222">
        <v>3.1880000000000002</v>
      </c>
      <c r="BO29" s="223" t="s">
        <v>311</v>
      </c>
      <c r="BP29" s="222"/>
      <c r="BQ29" s="222"/>
      <c r="BR29" s="223"/>
      <c r="BS29" s="222"/>
      <c r="BT29" s="222"/>
      <c r="BU29" s="223"/>
      <c r="BV29" s="222"/>
      <c r="BW29" s="222"/>
      <c r="BX29" s="223"/>
      <c r="BY29" s="223"/>
      <c r="BZ29" s="223"/>
      <c r="CA29" s="223"/>
      <c r="CB29" s="223"/>
      <c r="CC29" s="223"/>
      <c r="CD29" s="223"/>
      <c r="CE29" s="223"/>
      <c r="CF29" s="223"/>
      <c r="CG29" s="223"/>
      <c r="CH29" s="222">
        <v>3.5333333333333337</v>
      </c>
      <c r="CI29" s="222">
        <v>3.5</v>
      </c>
      <c r="CJ29" s="223" t="s">
        <v>311</v>
      </c>
      <c r="CK29" s="222"/>
      <c r="CL29" s="222"/>
      <c r="CM29" s="223"/>
      <c r="CN29" s="208" t="s">
        <v>258</v>
      </c>
      <c r="CO29" s="224"/>
      <c r="CP29" s="208" t="s">
        <v>258</v>
      </c>
      <c r="CQ29" s="224"/>
      <c r="CR29" s="93">
        <v>3</v>
      </c>
      <c r="CS29" s="93">
        <v>6</v>
      </c>
      <c r="CT29" s="93">
        <v>4</v>
      </c>
      <c r="CU29" s="356">
        <f t="shared" si="0"/>
        <v>37</v>
      </c>
      <c r="CY29" s="360">
        <f t="shared" si="1"/>
        <v>56.007295238095239</v>
      </c>
      <c r="CZ29" s="360">
        <f t="shared" si="2"/>
        <v>56.865542857142863</v>
      </c>
      <c r="DA29" s="359">
        <f t="shared" si="3"/>
        <v>112.87283809523811</v>
      </c>
    </row>
    <row r="30" spans="2:105" x14ac:dyDescent="0.25">
      <c r="B30" s="218">
        <v>26</v>
      </c>
      <c r="C30" s="219" t="str">
        <f>Peserta_Didik!D28</f>
        <v>1314.10.132</v>
      </c>
      <c r="D30" s="220" t="str">
        <f>Peserta_Didik!C28</f>
        <v>Muhammad Rizky Adrian</v>
      </c>
      <c r="E30" s="222">
        <v>3.1280000000000001</v>
      </c>
      <c r="F30" s="222">
        <v>3.18</v>
      </c>
      <c r="G30" s="223" t="s">
        <v>311</v>
      </c>
      <c r="H30" s="222">
        <v>3.0720000000000001</v>
      </c>
      <c r="I30" s="222">
        <v>3.35</v>
      </c>
      <c r="J30" s="223" t="s">
        <v>311</v>
      </c>
      <c r="K30" s="222">
        <v>3.3439999999999999</v>
      </c>
      <c r="L30" s="222">
        <v>3.2</v>
      </c>
      <c r="M30" s="223" t="s">
        <v>311</v>
      </c>
      <c r="N30" s="222">
        <v>2.9035714285714289</v>
      </c>
      <c r="O30" s="222">
        <v>3.0468571428571432</v>
      </c>
      <c r="P30" s="223" t="s">
        <v>311</v>
      </c>
      <c r="Q30" s="222">
        <v>3.4346666666666663</v>
      </c>
      <c r="R30" s="222">
        <v>3.3</v>
      </c>
      <c r="S30" s="223" t="s">
        <v>311</v>
      </c>
      <c r="T30" s="222">
        <v>3.2639999999999998</v>
      </c>
      <c r="U30" s="222">
        <v>3.2239999999999998</v>
      </c>
      <c r="V30" s="223" t="s">
        <v>311</v>
      </c>
      <c r="W30" s="222">
        <v>3.2240000000000002</v>
      </c>
      <c r="X30" s="222">
        <v>3.2480000000000002</v>
      </c>
      <c r="Y30" s="223" t="s">
        <v>311</v>
      </c>
      <c r="Z30" s="222">
        <v>3.2</v>
      </c>
      <c r="AA30" s="222">
        <v>3.38</v>
      </c>
      <c r="AB30" s="223" t="s">
        <v>311</v>
      </c>
      <c r="AC30" s="222">
        <v>3.24</v>
      </c>
      <c r="AD30" s="222">
        <v>3.28</v>
      </c>
      <c r="AE30" s="223" t="s">
        <v>311</v>
      </c>
      <c r="AF30" s="222">
        <v>2.9360000000000004</v>
      </c>
      <c r="AG30" s="222">
        <v>3.07</v>
      </c>
      <c r="AH30" s="223" t="s">
        <v>311</v>
      </c>
      <c r="AI30" s="222">
        <v>3.12</v>
      </c>
      <c r="AJ30" s="222">
        <v>3.1680000000000001</v>
      </c>
      <c r="AK30" s="223" t="s">
        <v>311</v>
      </c>
      <c r="AL30" s="222"/>
      <c r="AM30" s="222"/>
      <c r="AN30" s="223"/>
      <c r="AO30" s="223"/>
      <c r="AP30" s="223"/>
      <c r="AQ30" s="223"/>
      <c r="AR30" s="223"/>
      <c r="AS30" s="223"/>
      <c r="AT30" s="223"/>
      <c r="AU30" s="223"/>
      <c r="AV30" s="223"/>
      <c r="AW30" s="223"/>
      <c r="AX30" s="222">
        <v>3.0720000000000001</v>
      </c>
      <c r="AY30" s="222">
        <v>3.35</v>
      </c>
      <c r="AZ30" s="223" t="s">
        <v>311</v>
      </c>
      <c r="BA30" s="222">
        <v>3.16</v>
      </c>
      <c r="BB30" s="222">
        <v>3.1680000000000001</v>
      </c>
      <c r="BC30" s="223" t="s">
        <v>311</v>
      </c>
      <c r="BD30" s="222">
        <v>3.1779999999999999</v>
      </c>
      <c r="BE30" s="222">
        <v>3.2436000000000003</v>
      </c>
      <c r="BF30" s="223" t="s">
        <v>311</v>
      </c>
      <c r="BG30" s="222">
        <v>2.9920000000000004</v>
      </c>
      <c r="BH30" s="222">
        <v>3.08</v>
      </c>
      <c r="BI30" s="223" t="s">
        <v>311</v>
      </c>
      <c r="BJ30" s="222">
        <v>2.68</v>
      </c>
      <c r="BK30" s="222">
        <v>3</v>
      </c>
      <c r="BL30" s="223" t="s">
        <v>311</v>
      </c>
      <c r="BM30" s="222">
        <v>3.508</v>
      </c>
      <c r="BN30" s="222">
        <v>3.1880000000000002</v>
      </c>
      <c r="BO30" s="223" t="s">
        <v>311</v>
      </c>
      <c r="BP30" s="222"/>
      <c r="BQ30" s="222"/>
      <c r="BR30" s="223"/>
      <c r="BS30" s="222"/>
      <c r="BT30" s="222"/>
      <c r="BU30" s="223"/>
      <c r="BV30" s="222"/>
      <c r="BW30" s="222"/>
      <c r="BX30" s="223"/>
      <c r="BY30" s="223"/>
      <c r="BZ30" s="223"/>
      <c r="CA30" s="223"/>
      <c r="CB30" s="223"/>
      <c r="CC30" s="223"/>
      <c r="CD30" s="223"/>
      <c r="CE30" s="223"/>
      <c r="CF30" s="223"/>
      <c r="CG30" s="223"/>
      <c r="CH30" s="222">
        <v>3.4333333333333336</v>
      </c>
      <c r="CI30" s="222">
        <v>3.5</v>
      </c>
      <c r="CJ30" s="223" t="s">
        <v>311</v>
      </c>
      <c r="CK30" s="222"/>
      <c r="CL30" s="222"/>
      <c r="CM30" s="223"/>
      <c r="CN30" s="208" t="s">
        <v>258</v>
      </c>
      <c r="CO30" s="224"/>
      <c r="CP30" s="208" t="s">
        <v>258</v>
      </c>
      <c r="CQ30" s="224"/>
      <c r="CR30" s="93">
        <v>0</v>
      </c>
      <c r="CS30" s="93">
        <v>0</v>
      </c>
      <c r="CT30" s="93">
        <v>3</v>
      </c>
      <c r="CU30" s="356">
        <f t="shared" si="0"/>
        <v>21</v>
      </c>
      <c r="CY30" s="360">
        <f t="shared" si="1"/>
        <v>56.889571428571429</v>
      </c>
      <c r="CZ30" s="360">
        <f t="shared" si="2"/>
        <v>57.976457142857143</v>
      </c>
      <c r="DA30" s="359">
        <f t="shared" si="3"/>
        <v>114.86602857142857</v>
      </c>
    </row>
    <row r="31" spans="2:105" x14ac:dyDescent="0.25">
      <c r="B31" s="218">
        <v>27</v>
      </c>
      <c r="C31" s="219" t="str">
        <f>Peserta_Didik!D29</f>
        <v>1314.10.133</v>
      </c>
      <c r="D31" s="220" t="str">
        <f>Peserta_Didik!C29</f>
        <v>Muhammad Sakhin Aliyyin</v>
      </c>
      <c r="E31" s="222">
        <v>3.0880000000000001</v>
      </c>
      <c r="F31" s="222">
        <v>3.32</v>
      </c>
      <c r="G31" s="223" t="s">
        <v>311</v>
      </c>
      <c r="H31" s="222">
        <v>3.0960000000000001</v>
      </c>
      <c r="I31" s="222">
        <v>3.16</v>
      </c>
      <c r="J31" s="223" t="s">
        <v>311</v>
      </c>
      <c r="K31" s="222">
        <v>3.6719999999999997</v>
      </c>
      <c r="L31" s="222">
        <v>3.4</v>
      </c>
      <c r="M31" s="223" t="s">
        <v>311</v>
      </c>
      <c r="N31" s="222">
        <v>2.7250000000000001</v>
      </c>
      <c r="O31" s="222">
        <v>2.8106666666666666</v>
      </c>
      <c r="P31" s="223" t="s">
        <v>311</v>
      </c>
      <c r="Q31" s="222">
        <v>3.1160000000000001</v>
      </c>
      <c r="R31" s="222">
        <v>3.206666666666667</v>
      </c>
      <c r="S31" s="223" t="s">
        <v>311</v>
      </c>
      <c r="T31" s="222">
        <v>3.2639999999999998</v>
      </c>
      <c r="U31" s="222">
        <v>3.2239999999999998</v>
      </c>
      <c r="V31" s="223" t="s">
        <v>311</v>
      </c>
      <c r="W31" s="222">
        <v>3.3151999999999999</v>
      </c>
      <c r="X31" s="222">
        <v>3.2960000000000003</v>
      </c>
      <c r="Y31" s="223" t="s">
        <v>311</v>
      </c>
      <c r="Z31" s="222">
        <v>3.04</v>
      </c>
      <c r="AA31" s="222">
        <v>3.4739999999999998</v>
      </c>
      <c r="AB31" s="223" t="s">
        <v>311</v>
      </c>
      <c r="AC31" s="222">
        <v>3.1919999999999997</v>
      </c>
      <c r="AD31" s="222">
        <v>3.24</v>
      </c>
      <c r="AE31" s="223" t="s">
        <v>311</v>
      </c>
      <c r="AF31" s="222">
        <v>2.9580000000000002</v>
      </c>
      <c r="AG31" s="222">
        <v>3.1</v>
      </c>
      <c r="AH31" s="223" t="s">
        <v>311</v>
      </c>
      <c r="AI31" s="222">
        <v>3.1016000000000004</v>
      </c>
      <c r="AJ31" s="222">
        <v>3.2</v>
      </c>
      <c r="AK31" s="223" t="s">
        <v>311</v>
      </c>
      <c r="AL31" s="222"/>
      <c r="AM31" s="222"/>
      <c r="AN31" s="223"/>
      <c r="AO31" s="223"/>
      <c r="AP31" s="223"/>
      <c r="AQ31" s="223"/>
      <c r="AR31" s="223"/>
      <c r="AS31" s="223"/>
      <c r="AT31" s="223"/>
      <c r="AU31" s="223"/>
      <c r="AV31" s="223"/>
      <c r="AW31" s="223"/>
      <c r="AX31" s="222">
        <v>3.0960000000000001</v>
      </c>
      <c r="AY31" s="222">
        <v>3.19</v>
      </c>
      <c r="AZ31" s="223" t="s">
        <v>311</v>
      </c>
      <c r="BA31" s="222">
        <v>3.1720000000000006</v>
      </c>
      <c r="BB31" s="222">
        <v>3.1680000000000001</v>
      </c>
      <c r="BC31" s="223" t="s">
        <v>311</v>
      </c>
      <c r="BD31" s="222">
        <v>3.258</v>
      </c>
      <c r="BE31" s="222">
        <v>3.2744</v>
      </c>
      <c r="BF31" s="223" t="s">
        <v>311</v>
      </c>
      <c r="BG31" s="222">
        <v>2.9813333333333332</v>
      </c>
      <c r="BH31" s="222">
        <v>2.9133333333333336</v>
      </c>
      <c r="BI31" s="223" t="s">
        <v>311</v>
      </c>
      <c r="BJ31" s="222">
        <v>2.84</v>
      </c>
      <c r="BK31" s="222">
        <v>3</v>
      </c>
      <c r="BL31" s="223" t="s">
        <v>311</v>
      </c>
      <c r="BM31" s="222">
        <v>3.2080000000000002</v>
      </c>
      <c r="BN31" s="222">
        <v>3.2</v>
      </c>
      <c r="BO31" s="223" t="s">
        <v>311</v>
      </c>
      <c r="BP31" s="222"/>
      <c r="BQ31" s="222"/>
      <c r="BR31" s="223"/>
      <c r="BS31" s="222"/>
      <c r="BT31" s="222"/>
      <c r="BU31" s="223"/>
      <c r="BV31" s="222"/>
      <c r="BW31" s="222"/>
      <c r="BX31" s="223"/>
      <c r="BY31" s="223"/>
      <c r="BZ31" s="223"/>
      <c r="CA31" s="223"/>
      <c r="CB31" s="223"/>
      <c r="CC31" s="223"/>
      <c r="CD31" s="223"/>
      <c r="CE31" s="223"/>
      <c r="CF31" s="223"/>
      <c r="CG31" s="223"/>
      <c r="CH31" s="222">
        <v>3.5066666666666664</v>
      </c>
      <c r="CI31" s="222">
        <v>3.54</v>
      </c>
      <c r="CJ31" s="223" t="s">
        <v>311</v>
      </c>
      <c r="CK31" s="222"/>
      <c r="CL31" s="222"/>
      <c r="CM31" s="223"/>
      <c r="CN31" s="208" t="s">
        <v>258</v>
      </c>
      <c r="CO31" s="224"/>
      <c r="CP31" s="208" t="s">
        <v>738</v>
      </c>
      <c r="CQ31" s="224" t="s">
        <v>188</v>
      </c>
      <c r="CR31" s="93">
        <v>8</v>
      </c>
      <c r="CS31" s="93">
        <v>0</v>
      </c>
      <c r="CT31" s="93">
        <v>1</v>
      </c>
      <c r="CU31" s="356">
        <f t="shared" si="0"/>
        <v>27</v>
      </c>
      <c r="CY31" s="360">
        <f t="shared" si="1"/>
        <v>56.629799999999996</v>
      </c>
      <c r="CZ31" s="360">
        <f t="shared" si="2"/>
        <v>57.717066666666668</v>
      </c>
      <c r="DA31" s="359">
        <f t="shared" si="3"/>
        <v>114.34686666666667</v>
      </c>
    </row>
    <row r="32" spans="2:105" x14ac:dyDescent="0.25">
      <c r="B32" s="218">
        <v>28</v>
      </c>
      <c r="C32" s="219" t="str">
        <f>Peserta_Didik!D30</f>
        <v>1314.10.134</v>
      </c>
      <c r="D32" s="220" t="str">
        <f>Peserta_Didik!C30</f>
        <v>Rafly Ramadhan</v>
      </c>
      <c r="E32" s="222">
        <v>3.2879999999999994</v>
      </c>
      <c r="F32" s="222">
        <v>3.26</v>
      </c>
      <c r="G32" s="223" t="s">
        <v>311</v>
      </c>
      <c r="H32" s="222">
        <v>3.0720000000000001</v>
      </c>
      <c r="I32" s="222">
        <v>3.35</v>
      </c>
      <c r="J32" s="223" t="s">
        <v>311</v>
      </c>
      <c r="K32" s="222">
        <v>3.3439999999999999</v>
      </c>
      <c r="L32" s="222">
        <v>3.2</v>
      </c>
      <c r="M32" s="223" t="s">
        <v>311</v>
      </c>
      <c r="N32" s="222">
        <v>2.923142857142857</v>
      </c>
      <c r="O32" s="222">
        <v>3.0990476190476186</v>
      </c>
      <c r="P32" s="223" t="s">
        <v>736</v>
      </c>
      <c r="Q32" s="222">
        <v>3.3973333333333331</v>
      </c>
      <c r="R32" s="222">
        <v>3.2</v>
      </c>
      <c r="S32" s="223" t="s">
        <v>311</v>
      </c>
      <c r="T32" s="222">
        <v>3.2639999999999998</v>
      </c>
      <c r="U32" s="222">
        <v>3.2239999999999998</v>
      </c>
      <c r="V32" s="223" t="s">
        <v>311</v>
      </c>
      <c r="W32" s="222">
        <v>3.3536000000000001</v>
      </c>
      <c r="X32" s="222">
        <v>3.2839999999999998</v>
      </c>
      <c r="Y32" s="223" t="s">
        <v>311</v>
      </c>
      <c r="Z32" s="222">
        <v>3.04</v>
      </c>
      <c r="AA32" s="222">
        <v>3.173</v>
      </c>
      <c r="AB32" s="223" t="s">
        <v>311</v>
      </c>
      <c r="AC32" s="222">
        <v>3.2319999999999998</v>
      </c>
      <c r="AD32" s="222">
        <v>3.24</v>
      </c>
      <c r="AE32" s="223" t="s">
        <v>311</v>
      </c>
      <c r="AF32" s="222">
        <v>2.9550000000000001</v>
      </c>
      <c r="AG32" s="222">
        <v>3.1</v>
      </c>
      <c r="AH32" s="223" t="s">
        <v>311</v>
      </c>
      <c r="AI32" s="222">
        <v>3.0980000000000003</v>
      </c>
      <c r="AJ32" s="222">
        <v>3.24</v>
      </c>
      <c r="AK32" s="223" t="s">
        <v>311</v>
      </c>
      <c r="AL32" s="222"/>
      <c r="AM32" s="222"/>
      <c r="AN32" s="223"/>
      <c r="AO32" s="223"/>
      <c r="AP32" s="223"/>
      <c r="AQ32" s="223"/>
      <c r="AR32" s="223"/>
      <c r="AS32" s="223"/>
      <c r="AT32" s="223"/>
      <c r="AU32" s="223"/>
      <c r="AV32" s="223"/>
      <c r="AW32" s="223"/>
      <c r="AX32" s="222">
        <v>3.0720000000000001</v>
      </c>
      <c r="AY32" s="222">
        <v>3.35</v>
      </c>
      <c r="AZ32" s="223" t="s">
        <v>311</v>
      </c>
      <c r="BA32" s="222">
        <v>3.0460000000000003</v>
      </c>
      <c r="BB32" s="222">
        <v>3.2080000000000002</v>
      </c>
      <c r="BC32" s="223" t="s">
        <v>311</v>
      </c>
      <c r="BD32" s="222">
        <v>3.2719999999999998</v>
      </c>
      <c r="BE32" s="222">
        <v>3.2492000000000001</v>
      </c>
      <c r="BF32" s="223" t="s">
        <v>311</v>
      </c>
      <c r="BG32" s="222">
        <v>3.0666666666666664</v>
      </c>
      <c r="BH32" s="222">
        <v>2.9666666666666663</v>
      </c>
      <c r="BI32" s="223" t="s">
        <v>311</v>
      </c>
      <c r="BJ32" s="222">
        <v>3.08</v>
      </c>
      <c r="BK32" s="222">
        <v>3.35</v>
      </c>
      <c r="BL32" s="223" t="s">
        <v>311</v>
      </c>
      <c r="BM32" s="222">
        <v>3.468</v>
      </c>
      <c r="BN32" s="222">
        <v>3.3119999999999998</v>
      </c>
      <c r="BO32" s="223" t="s">
        <v>311</v>
      </c>
      <c r="BP32" s="222"/>
      <c r="BQ32" s="222"/>
      <c r="BR32" s="223"/>
      <c r="BS32" s="222"/>
      <c r="BT32" s="222"/>
      <c r="BU32" s="223"/>
      <c r="BV32" s="222"/>
      <c r="BW32" s="222"/>
      <c r="BX32" s="223"/>
      <c r="BY32" s="223"/>
      <c r="BZ32" s="223"/>
      <c r="CA32" s="223"/>
      <c r="CB32" s="223"/>
      <c r="CC32" s="223"/>
      <c r="CD32" s="223"/>
      <c r="CE32" s="223"/>
      <c r="CF32" s="223"/>
      <c r="CG32" s="223"/>
      <c r="CH32" s="222">
        <v>3.4133333333333336</v>
      </c>
      <c r="CI32" s="222">
        <v>3.54</v>
      </c>
      <c r="CJ32" s="223" t="s">
        <v>311</v>
      </c>
      <c r="CK32" s="222"/>
      <c r="CL32" s="222"/>
      <c r="CM32" s="223"/>
      <c r="CN32" s="208" t="s">
        <v>258</v>
      </c>
      <c r="CO32" s="224"/>
      <c r="CP32" s="208" t="s">
        <v>832</v>
      </c>
      <c r="CQ32" s="224" t="s">
        <v>188</v>
      </c>
      <c r="CR32" s="93">
        <v>2</v>
      </c>
      <c r="CS32" s="93">
        <v>3</v>
      </c>
      <c r="CT32" s="93">
        <v>1</v>
      </c>
      <c r="CU32" s="356">
        <f t="shared" si="0"/>
        <v>16</v>
      </c>
      <c r="CY32" s="360">
        <f t="shared" si="1"/>
        <v>57.385076190476191</v>
      </c>
      <c r="CZ32" s="360">
        <f t="shared" si="2"/>
        <v>58.345914285714294</v>
      </c>
      <c r="DA32" s="359">
        <f t="shared" si="3"/>
        <v>115.73099047619048</v>
      </c>
    </row>
    <row r="33" spans="2:105" x14ac:dyDescent="0.25">
      <c r="B33" s="218">
        <v>29</v>
      </c>
      <c r="C33" s="219" t="str">
        <f>Peserta_Didik!D31</f>
        <v>1314.10.135</v>
      </c>
      <c r="D33" s="220" t="str">
        <f>Peserta_Didik!C31</f>
        <v>Raka Bagus Hartanto</v>
      </c>
      <c r="E33" s="222">
        <v>3.2719999999999994</v>
      </c>
      <c r="F33" s="222">
        <v>3.2</v>
      </c>
      <c r="G33" s="223" t="s">
        <v>311</v>
      </c>
      <c r="H33" s="222">
        <v>3.016</v>
      </c>
      <c r="I33" s="222">
        <v>3.36</v>
      </c>
      <c r="J33" s="223" t="s">
        <v>311</v>
      </c>
      <c r="K33" s="222">
        <v>3.12</v>
      </c>
      <c r="L33" s="222">
        <v>3.2</v>
      </c>
      <c r="M33" s="223" t="s">
        <v>311</v>
      </c>
      <c r="N33" s="222">
        <v>2.827</v>
      </c>
      <c r="O33" s="222">
        <v>2.9493333333333336</v>
      </c>
      <c r="P33" s="223" t="s">
        <v>311</v>
      </c>
      <c r="Q33" s="222">
        <v>3.3519999999999999</v>
      </c>
      <c r="R33" s="222">
        <v>3.333333333333333</v>
      </c>
      <c r="S33" s="223" t="s">
        <v>311</v>
      </c>
      <c r="T33" s="222">
        <v>3.2639999999999998</v>
      </c>
      <c r="U33" s="222">
        <v>3.2239999999999998</v>
      </c>
      <c r="V33" s="223" t="s">
        <v>311</v>
      </c>
      <c r="W33" s="222">
        <v>3.2464</v>
      </c>
      <c r="X33" s="222">
        <v>3.2080000000000002</v>
      </c>
      <c r="Y33" s="223" t="s">
        <v>311</v>
      </c>
      <c r="Z33" s="222">
        <v>3.04</v>
      </c>
      <c r="AA33" s="222">
        <v>3.4339999999999997</v>
      </c>
      <c r="AB33" s="223" t="s">
        <v>311</v>
      </c>
      <c r="AC33" s="222">
        <v>3.1919999999999997</v>
      </c>
      <c r="AD33" s="222">
        <v>3.24</v>
      </c>
      <c r="AE33" s="223" t="s">
        <v>311</v>
      </c>
      <c r="AF33" s="222">
        <v>2.7942857142857145</v>
      </c>
      <c r="AG33" s="222">
        <v>3</v>
      </c>
      <c r="AH33" s="223" t="s">
        <v>311</v>
      </c>
      <c r="AI33" s="222">
        <v>3.04</v>
      </c>
      <c r="AJ33" s="222">
        <v>3.0720000000000005</v>
      </c>
      <c r="AK33" s="223" t="s">
        <v>311</v>
      </c>
      <c r="AL33" s="222"/>
      <c r="AM33" s="222"/>
      <c r="AN33" s="223"/>
      <c r="AO33" s="223"/>
      <c r="AP33" s="223"/>
      <c r="AQ33" s="223"/>
      <c r="AR33" s="223"/>
      <c r="AS33" s="223"/>
      <c r="AT33" s="223"/>
      <c r="AU33" s="223"/>
      <c r="AV33" s="223"/>
      <c r="AW33" s="223"/>
      <c r="AX33" s="222">
        <v>3.016</v>
      </c>
      <c r="AY33" s="222">
        <v>3.36</v>
      </c>
      <c r="AZ33" s="223" t="s">
        <v>311</v>
      </c>
      <c r="BA33" s="222">
        <v>3.1236000000000002</v>
      </c>
      <c r="BB33" s="222">
        <v>3.1680000000000001</v>
      </c>
      <c r="BC33" s="223" t="s">
        <v>311</v>
      </c>
      <c r="BD33" s="222">
        <v>3.198</v>
      </c>
      <c r="BE33" s="222">
        <v>3.2576000000000001</v>
      </c>
      <c r="BF33" s="223" t="s">
        <v>311</v>
      </c>
      <c r="BG33" s="222">
        <v>3.0613333333333332</v>
      </c>
      <c r="BH33" s="222">
        <v>3.1133333333333337</v>
      </c>
      <c r="BI33" s="223" t="s">
        <v>311</v>
      </c>
      <c r="BJ33" s="222">
        <v>2.92</v>
      </c>
      <c r="BK33" s="222">
        <v>2.95</v>
      </c>
      <c r="BL33" s="223" t="s">
        <v>311</v>
      </c>
      <c r="BM33" s="222">
        <v>3.2480000000000002</v>
      </c>
      <c r="BN33" s="222">
        <v>3.1880000000000002</v>
      </c>
      <c r="BO33" s="223" t="s">
        <v>311</v>
      </c>
      <c r="BP33" s="222"/>
      <c r="BQ33" s="222"/>
      <c r="BR33" s="223"/>
      <c r="BS33" s="222"/>
      <c r="BT33" s="222"/>
      <c r="BU33" s="223"/>
      <c r="BV33" s="222"/>
      <c r="BW33" s="222"/>
      <c r="BX33" s="223"/>
      <c r="BY33" s="223"/>
      <c r="BZ33" s="223"/>
      <c r="CA33" s="223"/>
      <c r="CB33" s="223"/>
      <c r="CC33" s="223"/>
      <c r="CD33" s="223"/>
      <c r="CE33" s="223"/>
      <c r="CF33" s="223"/>
      <c r="CG33" s="223"/>
      <c r="CH33" s="222">
        <v>3.5066666666666664</v>
      </c>
      <c r="CI33" s="222">
        <v>3.54</v>
      </c>
      <c r="CJ33" s="223" t="s">
        <v>311</v>
      </c>
      <c r="CK33" s="222"/>
      <c r="CL33" s="222"/>
      <c r="CM33" s="223"/>
      <c r="CN33" s="208" t="s">
        <v>258</v>
      </c>
      <c r="CO33" s="224"/>
      <c r="CP33" s="208" t="s">
        <v>258</v>
      </c>
      <c r="CQ33" s="224"/>
      <c r="CR33" s="93">
        <v>2</v>
      </c>
      <c r="CS33" s="93">
        <v>0</v>
      </c>
      <c r="CT33" s="93">
        <v>1</v>
      </c>
      <c r="CU33" s="356">
        <f t="shared" si="0"/>
        <v>31</v>
      </c>
      <c r="CY33" s="360">
        <f t="shared" si="1"/>
        <v>56.237285714285711</v>
      </c>
      <c r="CZ33" s="360">
        <f t="shared" si="2"/>
        <v>57.797600000000017</v>
      </c>
      <c r="DA33" s="359">
        <f t="shared" si="3"/>
        <v>114.03488571428574</v>
      </c>
    </row>
    <row r="34" spans="2:105" x14ac:dyDescent="0.25">
      <c r="B34" s="218">
        <v>30</v>
      </c>
      <c r="C34" s="219" t="str">
        <f>Peserta_Didik!D32</f>
        <v>1314.10.136</v>
      </c>
      <c r="D34" s="220" t="str">
        <f>Peserta_Didik!C32</f>
        <v>Ramdan Rohadiat</v>
      </c>
      <c r="E34" s="222">
        <v>3.3360000000000003</v>
      </c>
      <c r="F34" s="222">
        <v>3.54</v>
      </c>
      <c r="G34" s="223" t="s">
        <v>311</v>
      </c>
      <c r="H34" s="222">
        <v>3.4</v>
      </c>
      <c r="I34" s="222">
        <v>3.39</v>
      </c>
      <c r="J34" s="223" t="s">
        <v>736</v>
      </c>
      <c r="K34" s="222">
        <v>3.6719999999999997</v>
      </c>
      <c r="L34" s="222">
        <v>3.4</v>
      </c>
      <c r="M34" s="223" t="s">
        <v>311</v>
      </c>
      <c r="N34" s="222">
        <v>3.0508571428571427</v>
      </c>
      <c r="O34" s="222">
        <v>3.1996190476190476</v>
      </c>
      <c r="P34" s="223" t="s">
        <v>736</v>
      </c>
      <c r="Q34" s="222">
        <v>3.38</v>
      </c>
      <c r="R34" s="222">
        <v>3.5333333333333332</v>
      </c>
      <c r="S34" s="223" t="s">
        <v>311</v>
      </c>
      <c r="T34" s="222">
        <v>3.2639999999999998</v>
      </c>
      <c r="U34" s="222">
        <v>3.2239999999999998</v>
      </c>
      <c r="V34" s="223" t="s">
        <v>311</v>
      </c>
      <c r="W34" s="222">
        <v>3.2080000000000002</v>
      </c>
      <c r="X34" s="222">
        <v>3.2080000000000002</v>
      </c>
      <c r="Y34" s="223" t="s">
        <v>311</v>
      </c>
      <c r="Z34" s="222">
        <v>3.36</v>
      </c>
      <c r="AA34" s="222">
        <v>3.4580000000000002</v>
      </c>
      <c r="AB34" s="223" t="s">
        <v>311</v>
      </c>
      <c r="AC34" s="222">
        <v>3.2</v>
      </c>
      <c r="AD34" s="222">
        <v>3.28</v>
      </c>
      <c r="AE34" s="223" t="s">
        <v>311</v>
      </c>
      <c r="AF34" s="222">
        <v>3.2610000000000001</v>
      </c>
      <c r="AG34" s="222">
        <v>3.22</v>
      </c>
      <c r="AH34" s="223" t="s">
        <v>736</v>
      </c>
      <c r="AI34" s="222">
        <v>3.2040000000000002</v>
      </c>
      <c r="AJ34" s="222">
        <v>3.2080000000000002</v>
      </c>
      <c r="AK34" s="223" t="s">
        <v>311</v>
      </c>
      <c r="AL34" s="222"/>
      <c r="AM34" s="222"/>
      <c r="AN34" s="223"/>
      <c r="AO34" s="223"/>
      <c r="AP34" s="223"/>
      <c r="AQ34" s="223"/>
      <c r="AR34" s="223"/>
      <c r="AS34" s="223"/>
      <c r="AT34" s="223"/>
      <c r="AU34" s="223"/>
      <c r="AV34" s="223"/>
      <c r="AW34" s="223"/>
      <c r="AX34" s="222">
        <v>3.4</v>
      </c>
      <c r="AY34" s="222">
        <v>3.39</v>
      </c>
      <c r="AZ34" s="223" t="s">
        <v>736</v>
      </c>
      <c r="BA34" s="222">
        <v>3.12</v>
      </c>
      <c r="BB34" s="222">
        <v>3.2080000000000002</v>
      </c>
      <c r="BC34" s="223" t="s">
        <v>311</v>
      </c>
      <c r="BD34" s="222">
        <v>3.2319999999999998</v>
      </c>
      <c r="BE34" s="222">
        <v>3.3163999999999998</v>
      </c>
      <c r="BF34" s="223" t="s">
        <v>311</v>
      </c>
      <c r="BG34" s="222">
        <v>2.9813333333333332</v>
      </c>
      <c r="BH34" s="222">
        <v>2.9133333333333336</v>
      </c>
      <c r="BI34" s="223" t="s">
        <v>311</v>
      </c>
      <c r="BJ34" s="222">
        <v>2.92</v>
      </c>
      <c r="BK34" s="222">
        <v>3.25</v>
      </c>
      <c r="BL34" s="223" t="s">
        <v>311</v>
      </c>
      <c r="BM34" s="222">
        <v>3.3879999999999999</v>
      </c>
      <c r="BN34" s="222">
        <v>3.2160000000000002</v>
      </c>
      <c r="BO34" s="223" t="s">
        <v>311</v>
      </c>
      <c r="BP34" s="222"/>
      <c r="BQ34" s="222"/>
      <c r="BR34" s="223"/>
      <c r="BS34" s="222"/>
      <c r="BT34" s="222"/>
      <c r="BU34" s="223"/>
      <c r="BV34" s="222"/>
      <c r="BW34" s="222"/>
      <c r="BX34" s="223"/>
      <c r="BY34" s="223"/>
      <c r="BZ34" s="223"/>
      <c r="CA34" s="223"/>
      <c r="CB34" s="223"/>
      <c r="CC34" s="223"/>
      <c r="CD34" s="223"/>
      <c r="CE34" s="223"/>
      <c r="CF34" s="223"/>
      <c r="CG34" s="223"/>
      <c r="CH34" s="222">
        <v>3.4</v>
      </c>
      <c r="CI34" s="222">
        <v>3.5</v>
      </c>
      <c r="CJ34" s="223" t="s">
        <v>311</v>
      </c>
      <c r="CK34" s="222"/>
      <c r="CL34" s="222"/>
      <c r="CM34" s="223"/>
      <c r="CN34" s="208" t="s">
        <v>258</v>
      </c>
      <c r="CO34" s="224"/>
      <c r="CP34" s="208" t="s">
        <v>832</v>
      </c>
      <c r="CQ34" s="224"/>
      <c r="CR34" s="93">
        <v>0</v>
      </c>
      <c r="CS34" s="93">
        <v>1</v>
      </c>
      <c r="CT34" s="93">
        <v>0</v>
      </c>
      <c r="CU34" s="356">
        <f t="shared" si="0"/>
        <v>5</v>
      </c>
      <c r="CY34" s="360">
        <f t="shared" si="1"/>
        <v>58.777190476190469</v>
      </c>
      <c r="CZ34" s="360">
        <f t="shared" si="2"/>
        <v>59.454685714285716</v>
      </c>
      <c r="DA34" s="359">
        <f t="shared" si="3"/>
        <v>118.23187619047619</v>
      </c>
    </row>
    <row r="35" spans="2:105" x14ac:dyDescent="0.25">
      <c r="B35" s="218">
        <v>31</v>
      </c>
      <c r="C35" s="219" t="str">
        <f>Peserta_Didik!D33</f>
        <v>1314.10.137</v>
      </c>
      <c r="D35" s="220" t="str">
        <f>Peserta_Didik!C33</f>
        <v>Reza Lesmana Budiman</v>
      </c>
      <c r="E35" s="222">
        <v>3.3199999999999994</v>
      </c>
      <c r="F35" s="222">
        <v>3.4</v>
      </c>
      <c r="G35" s="223" t="s">
        <v>311</v>
      </c>
      <c r="H35" s="222">
        <v>3.2239999999999998</v>
      </c>
      <c r="I35" s="222">
        <v>3.4</v>
      </c>
      <c r="J35" s="223" t="s">
        <v>311</v>
      </c>
      <c r="K35" s="222">
        <v>3.3439999999999999</v>
      </c>
      <c r="L35" s="222">
        <v>3.4</v>
      </c>
      <c r="M35" s="223" t="s">
        <v>311</v>
      </c>
      <c r="N35" s="222">
        <v>2.7011428571428571</v>
      </c>
      <c r="O35" s="222">
        <v>2.8403809523809525</v>
      </c>
      <c r="P35" s="223" t="s">
        <v>311</v>
      </c>
      <c r="Q35" s="222">
        <v>3.1</v>
      </c>
      <c r="R35" s="222">
        <v>3.2</v>
      </c>
      <c r="S35" s="223" t="s">
        <v>311</v>
      </c>
      <c r="T35" s="222">
        <v>3.2639999999999998</v>
      </c>
      <c r="U35" s="222">
        <v>3.2239999999999998</v>
      </c>
      <c r="V35" s="223" t="s">
        <v>311</v>
      </c>
      <c r="W35" s="222">
        <v>3.2544</v>
      </c>
      <c r="X35" s="222">
        <v>3.2160000000000002</v>
      </c>
      <c r="Y35" s="223" t="s">
        <v>311</v>
      </c>
      <c r="Z35" s="222">
        <v>3.04</v>
      </c>
      <c r="AA35" s="222">
        <v>3.1930000000000001</v>
      </c>
      <c r="AB35" s="223" t="s">
        <v>311</v>
      </c>
      <c r="AC35" s="222">
        <v>3.2</v>
      </c>
      <c r="AD35" s="222">
        <v>3.28</v>
      </c>
      <c r="AE35" s="223" t="s">
        <v>311</v>
      </c>
      <c r="AF35" s="222">
        <v>2.8839999999999999</v>
      </c>
      <c r="AG35" s="222">
        <v>3.1</v>
      </c>
      <c r="AH35" s="223" t="s">
        <v>311</v>
      </c>
      <c r="AI35" s="222">
        <v>3.08</v>
      </c>
      <c r="AJ35" s="222">
        <v>3.2080000000000002</v>
      </c>
      <c r="AK35" s="223" t="s">
        <v>311</v>
      </c>
      <c r="AL35" s="222"/>
      <c r="AM35" s="222"/>
      <c r="AN35" s="223"/>
      <c r="AO35" s="223"/>
      <c r="AP35" s="223"/>
      <c r="AQ35" s="223"/>
      <c r="AR35" s="223"/>
      <c r="AS35" s="223"/>
      <c r="AT35" s="223"/>
      <c r="AU35" s="223"/>
      <c r="AV35" s="223"/>
      <c r="AW35" s="223"/>
      <c r="AX35" s="222">
        <v>3.2239999999999998</v>
      </c>
      <c r="AY35" s="222">
        <v>3.4</v>
      </c>
      <c r="AZ35" s="223" t="s">
        <v>311</v>
      </c>
      <c r="BA35" s="222">
        <v>3.14</v>
      </c>
      <c r="BB35" s="222">
        <v>3.2080000000000002</v>
      </c>
      <c r="BC35" s="223" t="s">
        <v>311</v>
      </c>
      <c r="BD35" s="222">
        <v>3.1579999999999999</v>
      </c>
      <c r="BE35" s="222">
        <v>3.2</v>
      </c>
      <c r="BF35" s="223" t="s">
        <v>311</v>
      </c>
      <c r="BG35" s="222">
        <v>2.9813333333333332</v>
      </c>
      <c r="BH35" s="222">
        <v>2.9133333333333336</v>
      </c>
      <c r="BI35" s="223" t="s">
        <v>311</v>
      </c>
      <c r="BJ35" s="222">
        <v>2.88</v>
      </c>
      <c r="BK35" s="222">
        <v>2.9</v>
      </c>
      <c r="BL35" s="223" t="s">
        <v>311</v>
      </c>
      <c r="BM35" s="222">
        <v>3.1680000000000001</v>
      </c>
      <c r="BN35" s="222">
        <v>3.23</v>
      </c>
      <c r="BO35" s="223" t="s">
        <v>311</v>
      </c>
      <c r="BP35" s="222"/>
      <c r="BQ35" s="222"/>
      <c r="BR35" s="223"/>
      <c r="BS35" s="222"/>
      <c r="BT35" s="222"/>
      <c r="BU35" s="223"/>
      <c r="BV35" s="222"/>
      <c r="BW35" s="222"/>
      <c r="BX35" s="223"/>
      <c r="BY35" s="223"/>
      <c r="BZ35" s="223"/>
      <c r="CA35" s="223"/>
      <c r="CB35" s="223"/>
      <c r="CC35" s="223"/>
      <c r="CD35" s="223"/>
      <c r="CE35" s="223"/>
      <c r="CF35" s="223"/>
      <c r="CG35" s="223"/>
      <c r="CH35" s="222">
        <v>3.36</v>
      </c>
      <c r="CI35" s="222">
        <v>3.54</v>
      </c>
      <c r="CJ35" s="223" t="s">
        <v>311</v>
      </c>
      <c r="CK35" s="222"/>
      <c r="CL35" s="222"/>
      <c r="CM35" s="223"/>
      <c r="CN35" s="208" t="s">
        <v>258</v>
      </c>
      <c r="CO35" s="224"/>
      <c r="CP35" s="208" t="s">
        <v>258</v>
      </c>
      <c r="CQ35" s="224"/>
      <c r="CR35" s="93">
        <v>0</v>
      </c>
      <c r="CS35" s="93">
        <v>2</v>
      </c>
      <c r="CT35" s="93">
        <v>1</v>
      </c>
      <c r="CU35" s="356">
        <f t="shared" si="0"/>
        <v>29</v>
      </c>
      <c r="CY35" s="360">
        <f t="shared" si="1"/>
        <v>56.322876190476187</v>
      </c>
      <c r="CZ35" s="360">
        <f t="shared" si="2"/>
        <v>57.852714285714285</v>
      </c>
      <c r="DA35" s="359">
        <f t="shared" si="3"/>
        <v>114.17559047619048</v>
      </c>
    </row>
    <row r="36" spans="2:105" x14ac:dyDescent="0.25">
      <c r="B36" s="218">
        <v>32</v>
      </c>
      <c r="C36" s="219" t="str">
        <f>Peserta_Didik!D34</f>
        <v>1314.10.138</v>
      </c>
      <c r="D36" s="220" t="str">
        <f>Peserta_Didik!C34</f>
        <v>Septhi Tsaltsah Rosulani</v>
      </c>
      <c r="E36" s="222">
        <v>3.3760000000000003</v>
      </c>
      <c r="F36" s="222">
        <v>3.54</v>
      </c>
      <c r="G36" s="223" t="s">
        <v>736</v>
      </c>
      <c r="H36" s="222">
        <v>3.3039999999999998</v>
      </c>
      <c r="I36" s="222">
        <v>3.4</v>
      </c>
      <c r="J36" s="223" t="s">
        <v>311</v>
      </c>
      <c r="K36" s="222">
        <v>3.6720000000000006</v>
      </c>
      <c r="L36" s="222">
        <v>3.8</v>
      </c>
      <c r="M36" s="223" t="s">
        <v>736</v>
      </c>
      <c r="N36" s="222">
        <v>2.6042857142857145</v>
      </c>
      <c r="O36" s="222">
        <v>2.7420952380952377</v>
      </c>
      <c r="P36" s="223" t="s">
        <v>311</v>
      </c>
      <c r="Q36" s="222">
        <v>3.1466666666666669</v>
      </c>
      <c r="R36" s="222">
        <v>3.1333333333333333</v>
      </c>
      <c r="S36" s="223" t="s">
        <v>311</v>
      </c>
      <c r="T36" s="222">
        <v>3.2640000000000002</v>
      </c>
      <c r="U36" s="222">
        <v>3.2239999999999998</v>
      </c>
      <c r="V36" s="223" t="s">
        <v>736</v>
      </c>
      <c r="W36" s="222">
        <v>3.2784000000000004</v>
      </c>
      <c r="X36" s="222">
        <v>3.2519999999999998</v>
      </c>
      <c r="Y36" s="223" t="s">
        <v>311</v>
      </c>
      <c r="Z36" s="222">
        <v>3.04</v>
      </c>
      <c r="AA36" s="222">
        <v>3.38</v>
      </c>
      <c r="AB36" s="223" t="s">
        <v>311</v>
      </c>
      <c r="AC36" s="222">
        <v>3.24</v>
      </c>
      <c r="AD36" s="222">
        <v>3.28</v>
      </c>
      <c r="AE36" s="223" t="s">
        <v>736</v>
      </c>
      <c r="AF36" s="222">
        <v>3.0870000000000006</v>
      </c>
      <c r="AG36" s="222">
        <v>3.26</v>
      </c>
      <c r="AH36" s="223" t="s">
        <v>736</v>
      </c>
      <c r="AI36" s="222">
        <v>3.056</v>
      </c>
      <c r="AJ36" s="222">
        <v>3.1439999999999997</v>
      </c>
      <c r="AK36" s="223" t="s">
        <v>311</v>
      </c>
      <c r="AL36" s="222"/>
      <c r="AM36" s="222"/>
      <c r="AN36" s="223"/>
      <c r="AO36" s="223"/>
      <c r="AP36" s="223"/>
      <c r="AQ36" s="223"/>
      <c r="AR36" s="223"/>
      <c r="AS36" s="223"/>
      <c r="AT36" s="223"/>
      <c r="AU36" s="223"/>
      <c r="AV36" s="223"/>
      <c r="AW36" s="223"/>
      <c r="AX36" s="222">
        <v>3.3039999999999998</v>
      </c>
      <c r="AY36" s="222">
        <v>3.4</v>
      </c>
      <c r="AZ36" s="223" t="s">
        <v>311</v>
      </c>
      <c r="BA36" s="222">
        <v>3.04</v>
      </c>
      <c r="BB36" s="222">
        <v>3.1439999999999997</v>
      </c>
      <c r="BC36" s="223" t="s">
        <v>311</v>
      </c>
      <c r="BD36" s="222">
        <v>3.238</v>
      </c>
      <c r="BE36" s="222">
        <v>3.3236000000000003</v>
      </c>
      <c r="BF36" s="223" t="s">
        <v>736</v>
      </c>
      <c r="BG36" s="222">
        <v>2.9226666666666663</v>
      </c>
      <c r="BH36" s="222">
        <v>2.9666666666666663</v>
      </c>
      <c r="BI36" s="223" t="s">
        <v>311</v>
      </c>
      <c r="BJ36" s="222">
        <v>2.76</v>
      </c>
      <c r="BK36" s="222">
        <v>3.05</v>
      </c>
      <c r="BL36" s="223" t="s">
        <v>311</v>
      </c>
      <c r="BM36" s="222">
        <v>3.2480000000000002</v>
      </c>
      <c r="BN36" s="222">
        <v>3.2680000000000002</v>
      </c>
      <c r="BO36" s="223" t="s">
        <v>736</v>
      </c>
      <c r="BP36" s="222"/>
      <c r="BQ36" s="222"/>
      <c r="BR36" s="223"/>
      <c r="BS36" s="222"/>
      <c r="BT36" s="222"/>
      <c r="BU36" s="223"/>
      <c r="BV36" s="222"/>
      <c r="BW36" s="222"/>
      <c r="BX36" s="223"/>
      <c r="BY36" s="223"/>
      <c r="BZ36" s="223"/>
      <c r="CA36" s="223"/>
      <c r="CB36" s="223"/>
      <c r="CC36" s="223"/>
      <c r="CD36" s="223"/>
      <c r="CE36" s="223"/>
      <c r="CF36" s="223"/>
      <c r="CG36" s="223"/>
      <c r="CH36" s="222">
        <v>3.5266666666666664</v>
      </c>
      <c r="CI36" s="222">
        <v>3.54</v>
      </c>
      <c r="CJ36" s="223" t="s">
        <v>311</v>
      </c>
      <c r="CK36" s="222"/>
      <c r="CL36" s="222"/>
      <c r="CM36" s="223"/>
      <c r="CN36" s="208" t="s">
        <v>258</v>
      </c>
      <c r="CO36" s="224"/>
      <c r="CP36" s="208" t="s">
        <v>258</v>
      </c>
      <c r="CQ36" s="224"/>
      <c r="CR36" s="93">
        <v>1</v>
      </c>
      <c r="CS36" s="93">
        <v>0</v>
      </c>
      <c r="CT36" s="93">
        <v>0</v>
      </c>
      <c r="CU36" s="356">
        <f t="shared" si="0"/>
        <v>14</v>
      </c>
      <c r="CY36" s="360">
        <f t="shared" si="1"/>
        <v>57.107685714285708</v>
      </c>
      <c r="CZ36" s="360">
        <f t="shared" si="2"/>
        <v>58.847695238095227</v>
      </c>
      <c r="DA36" s="359">
        <f t="shared" si="3"/>
        <v>115.95538095238093</v>
      </c>
    </row>
    <row r="37" spans="2:105" x14ac:dyDescent="0.25">
      <c r="B37" s="218">
        <v>33</v>
      </c>
      <c r="C37" s="219" t="str">
        <f>Peserta_Didik!D35</f>
        <v>1314.10.139</v>
      </c>
      <c r="D37" s="220" t="str">
        <f>Peserta_Didik!C35</f>
        <v>Silmi Farhah Fauziah</v>
      </c>
      <c r="E37" s="222">
        <v>3.5119999999999991</v>
      </c>
      <c r="F37" s="222">
        <v>3.6</v>
      </c>
      <c r="G37" s="223" t="s">
        <v>736</v>
      </c>
      <c r="H37" s="222">
        <v>3.4239999999999999</v>
      </c>
      <c r="I37" s="222">
        <v>3.4</v>
      </c>
      <c r="J37" s="223" t="s">
        <v>736</v>
      </c>
      <c r="K37" s="222">
        <v>3.7119999999999997</v>
      </c>
      <c r="L37" s="222">
        <v>3.8</v>
      </c>
      <c r="M37" s="223" t="s">
        <v>736</v>
      </c>
      <c r="N37" s="222">
        <v>3.0271428571428571</v>
      </c>
      <c r="O37" s="222">
        <v>3.1497142857142859</v>
      </c>
      <c r="P37" s="223" t="s">
        <v>736</v>
      </c>
      <c r="Q37" s="222">
        <v>3.3973333333333331</v>
      </c>
      <c r="R37" s="222">
        <v>3.4533333333333331</v>
      </c>
      <c r="S37" s="223" t="s">
        <v>311</v>
      </c>
      <c r="T37" s="222">
        <v>3.2640000000000002</v>
      </c>
      <c r="U37" s="222">
        <v>3.2239999999999998</v>
      </c>
      <c r="V37" s="223" t="s">
        <v>736</v>
      </c>
      <c r="W37" s="222">
        <v>3.4784000000000002</v>
      </c>
      <c r="X37" s="222">
        <v>3.4760000000000004</v>
      </c>
      <c r="Y37" s="223" t="s">
        <v>311</v>
      </c>
      <c r="Z37" s="222">
        <v>3.36</v>
      </c>
      <c r="AA37" s="222">
        <v>3.395</v>
      </c>
      <c r="AB37" s="223" t="s">
        <v>311</v>
      </c>
      <c r="AC37" s="222">
        <v>3.3839999999999999</v>
      </c>
      <c r="AD37" s="222">
        <v>3.28</v>
      </c>
      <c r="AE37" s="223" t="s">
        <v>736</v>
      </c>
      <c r="AF37" s="222">
        <v>3.5169999999999999</v>
      </c>
      <c r="AG37" s="222">
        <v>3.4</v>
      </c>
      <c r="AH37" s="223" t="s">
        <v>736</v>
      </c>
      <c r="AI37" s="222">
        <v>3.1162000000000001</v>
      </c>
      <c r="AJ37" s="222">
        <v>3.2160000000000002</v>
      </c>
      <c r="AK37" s="223" t="s">
        <v>311</v>
      </c>
      <c r="AL37" s="222"/>
      <c r="AM37" s="222"/>
      <c r="AN37" s="223"/>
      <c r="AO37" s="223"/>
      <c r="AP37" s="223"/>
      <c r="AQ37" s="223"/>
      <c r="AR37" s="223"/>
      <c r="AS37" s="223"/>
      <c r="AT37" s="223"/>
      <c r="AU37" s="223"/>
      <c r="AV37" s="223"/>
      <c r="AW37" s="223"/>
      <c r="AX37" s="222">
        <v>3.4239999999999999</v>
      </c>
      <c r="AY37" s="222">
        <v>3.4</v>
      </c>
      <c r="AZ37" s="223" t="s">
        <v>736</v>
      </c>
      <c r="BA37" s="222">
        <v>3.1319999999999997</v>
      </c>
      <c r="BB37" s="222">
        <v>3.2160000000000002</v>
      </c>
      <c r="BC37" s="223" t="s">
        <v>311</v>
      </c>
      <c r="BD37" s="222">
        <v>3.2280000000000002</v>
      </c>
      <c r="BE37" s="222">
        <v>3.4039999999999999</v>
      </c>
      <c r="BF37" s="223" t="s">
        <v>736</v>
      </c>
      <c r="BG37" s="222">
        <v>3.3760000000000003</v>
      </c>
      <c r="BH37" s="222">
        <v>3.3866666666666663</v>
      </c>
      <c r="BI37" s="223" t="s">
        <v>311</v>
      </c>
      <c r="BJ37" s="222">
        <v>3.4</v>
      </c>
      <c r="BK37" s="222">
        <v>3.4</v>
      </c>
      <c r="BL37" s="223" t="s">
        <v>311</v>
      </c>
      <c r="BM37" s="222">
        <v>3.3680000000000003</v>
      </c>
      <c r="BN37" s="222">
        <v>3.2680000000000002</v>
      </c>
      <c r="BO37" s="223" t="s">
        <v>736</v>
      </c>
      <c r="BP37" s="222"/>
      <c r="BQ37" s="222"/>
      <c r="BR37" s="223"/>
      <c r="BS37" s="222"/>
      <c r="BT37" s="222"/>
      <c r="BU37" s="223"/>
      <c r="BV37" s="222"/>
      <c r="BW37" s="222"/>
      <c r="BX37" s="223"/>
      <c r="BY37" s="223"/>
      <c r="BZ37" s="223"/>
      <c r="CA37" s="223"/>
      <c r="CB37" s="223"/>
      <c r="CC37" s="223"/>
      <c r="CD37" s="223"/>
      <c r="CE37" s="223"/>
      <c r="CF37" s="223"/>
      <c r="CG37" s="223"/>
      <c r="CH37" s="222">
        <v>3.5333333333333337</v>
      </c>
      <c r="CI37" s="222">
        <v>3.6</v>
      </c>
      <c r="CJ37" s="223" t="s">
        <v>311</v>
      </c>
      <c r="CK37" s="222"/>
      <c r="CL37" s="222"/>
      <c r="CM37" s="223"/>
      <c r="CN37" s="208" t="s">
        <v>737</v>
      </c>
      <c r="CO37" s="224" t="s">
        <v>188</v>
      </c>
      <c r="CP37" s="208" t="s">
        <v>735</v>
      </c>
      <c r="CQ37" s="224" t="s">
        <v>311</v>
      </c>
      <c r="CR37" s="93">
        <v>0</v>
      </c>
      <c r="CS37" s="93">
        <v>0</v>
      </c>
      <c r="CT37" s="93">
        <v>0</v>
      </c>
      <c r="CU37" s="356">
        <f t="shared" si="0"/>
        <v>2</v>
      </c>
      <c r="CY37" s="360">
        <f t="shared" si="1"/>
        <v>60.653409523809522</v>
      </c>
      <c r="CZ37" s="360">
        <f t="shared" si="2"/>
        <v>61.068714285714286</v>
      </c>
      <c r="DA37" s="359">
        <f t="shared" si="3"/>
        <v>121.72212380952381</v>
      </c>
    </row>
    <row r="38" spans="2:105" x14ac:dyDescent="0.25">
      <c r="B38" s="218">
        <v>34</v>
      </c>
      <c r="C38" s="219" t="str">
        <f>Peserta_Didik!D36</f>
        <v>1314.10.140</v>
      </c>
      <c r="D38" s="220" t="str">
        <f>Peserta_Didik!C36</f>
        <v>Syahrul Nizam</v>
      </c>
      <c r="E38" s="222">
        <v>3.4399999999999995</v>
      </c>
      <c r="F38" s="222">
        <v>3.56</v>
      </c>
      <c r="G38" s="223" t="s">
        <v>311</v>
      </c>
      <c r="H38" s="222">
        <v>3.2159999999999997</v>
      </c>
      <c r="I38" s="222">
        <v>3.33</v>
      </c>
      <c r="J38" s="223" t="s">
        <v>311</v>
      </c>
      <c r="K38" s="222">
        <v>3.3439999999999999</v>
      </c>
      <c r="L38" s="222">
        <v>3.2</v>
      </c>
      <c r="M38" s="223" t="s">
        <v>311</v>
      </c>
      <c r="N38" s="222">
        <v>2.5421428571428573</v>
      </c>
      <c r="O38" s="222">
        <v>2.563047619047619</v>
      </c>
      <c r="P38" s="223" t="s">
        <v>311</v>
      </c>
      <c r="Q38" s="222">
        <v>3.3973333333333331</v>
      </c>
      <c r="R38" s="222">
        <v>3.34</v>
      </c>
      <c r="S38" s="223" t="s">
        <v>311</v>
      </c>
      <c r="T38" s="222">
        <v>3.2640000000000002</v>
      </c>
      <c r="U38" s="222">
        <v>3.2239999999999998</v>
      </c>
      <c r="V38" s="223" t="s">
        <v>311</v>
      </c>
      <c r="W38" s="222">
        <v>3.2495999999999996</v>
      </c>
      <c r="X38" s="222">
        <v>3.2319999999999998</v>
      </c>
      <c r="Y38" s="223" t="s">
        <v>311</v>
      </c>
      <c r="Z38" s="222">
        <v>3.36</v>
      </c>
      <c r="AA38" s="222">
        <v>3.2949999999999999</v>
      </c>
      <c r="AB38" s="223" t="s">
        <v>311</v>
      </c>
      <c r="AC38" s="222">
        <v>3.1919999999999997</v>
      </c>
      <c r="AD38" s="222">
        <v>3.24</v>
      </c>
      <c r="AE38" s="223" t="s">
        <v>311</v>
      </c>
      <c r="AF38" s="222">
        <v>3.0139999999999998</v>
      </c>
      <c r="AG38" s="222">
        <v>3.1</v>
      </c>
      <c r="AH38" s="223" t="s">
        <v>736</v>
      </c>
      <c r="AI38" s="222">
        <v>3.1386000000000003</v>
      </c>
      <c r="AJ38" s="222">
        <v>3.2480000000000002</v>
      </c>
      <c r="AK38" s="223" t="s">
        <v>311</v>
      </c>
      <c r="AL38" s="222"/>
      <c r="AM38" s="222"/>
      <c r="AN38" s="223"/>
      <c r="AO38" s="223"/>
      <c r="AP38" s="223"/>
      <c r="AQ38" s="223"/>
      <c r="AR38" s="223"/>
      <c r="AS38" s="223"/>
      <c r="AT38" s="223"/>
      <c r="AU38" s="223"/>
      <c r="AV38" s="223"/>
      <c r="AW38" s="223"/>
      <c r="AX38" s="222">
        <v>3.2159999999999997</v>
      </c>
      <c r="AY38" s="222">
        <v>3.33</v>
      </c>
      <c r="AZ38" s="223" t="s">
        <v>311</v>
      </c>
      <c r="BA38" s="222">
        <v>3.17</v>
      </c>
      <c r="BB38" s="222">
        <v>3.28</v>
      </c>
      <c r="BC38" s="223" t="s">
        <v>311</v>
      </c>
      <c r="BD38" s="222">
        <v>3.1719999999999997</v>
      </c>
      <c r="BE38" s="222">
        <v>3.2080000000000002</v>
      </c>
      <c r="BF38" s="223" t="s">
        <v>311</v>
      </c>
      <c r="BG38" s="222">
        <v>3.0613333333333332</v>
      </c>
      <c r="BH38" s="222">
        <v>2.9133333333333336</v>
      </c>
      <c r="BI38" s="223" t="s">
        <v>311</v>
      </c>
      <c r="BJ38" s="222">
        <v>2.92</v>
      </c>
      <c r="BK38" s="222">
        <v>2.95</v>
      </c>
      <c r="BL38" s="223" t="s">
        <v>311</v>
      </c>
      <c r="BM38" s="222">
        <v>3.2480000000000002</v>
      </c>
      <c r="BN38" s="222">
        <v>3.2080000000000002</v>
      </c>
      <c r="BO38" s="223" t="s">
        <v>311</v>
      </c>
      <c r="BP38" s="222"/>
      <c r="BQ38" s="222"/>
      <c r="BR38" s="223"/>
      <c r="BS38" s="222"/>
      <c r="BT38" s="222"/>
      <c r="BU38" s="223"/>
      <c r="BV38" s="222"/>
      <c r="BW38" s="222"/>
      <c r="BX38" s="223"/>
      <c r="BY38" s="223"/>
      <c r="BZ38" s="223"/>
      <c r="CA38" s="223"/>
      <c r="CB38" s="223"/>
      <c r="CC38" s="223"/>
      <c r="CD38" s="223"/>
      <c r="CE38" s="223"/>
      <c r="CF38" s="223"/>
      <c r="CG38" s="223"/>
      <c r="CH38" s="222">
        <v>3.5466666666666664</v>
      </c>
      <c r="CI38" s="222">
        <v>3.54</v>
      </c>
      <c r="CJ38" s="223" t="s">
        <v>311</v>
      </c>
      <c r="CK38" s="222"/>
      <c r="CL38" s="222"/>
      <c r="CM38" s="223"/>
      <c r="CN38" s="208" t="s">
        <v>258</v>
      </c>
      <c r="CO38" s="224"/>
      <c r="CP38" s="208" t="s">
        <v>258</v>
      </c>
      <c r="CQ38" s="224"/>
      <c r="CR38" s="93">
        <v>1</v>
      </c>
      <c r="CS38" s="93">
        <v>0</v>
      </c>
      <c r="CT38" s="93">
        <v>0</v>
      </c>
      <c r="CU38" s="356">
        <f t="shared" si="0"/>
        <v>19</v>
      </c>
      <c r="CY38" s="360">
        <f t="shared" si="1"/>
        <v>57.491676190476191</v>
      </c>
      <c r="CZ38" s="360">
        <f t="shared" si="2"/>
        <v>57.761380952380954</v>
      </c>
      <c r="DA38" s="359">
        <f t="shared" si="3"/>
        <v>115.25305714285714</v>
      </c>
    </row>
    <row r="39" spans="2:105" x14ac:dyDescent="0.25">
      <c r="B39" s="218">
        <v>35</v>
      </c>
      <c r="C39" s="219" t="str">
        <f>Peserta_Didik!D37</f>
        <v>1314.10.141</v>
      </c>
      <c r="D39" s="220" t="str">
        <f>Peserta_Didik!C37</f>
        <v>Teti Hanira</v>
      </c>
      <c r="E39" s="222">
        <v>3.3759999999999994</v>
      </c>
      <c r="F39" s="222">
        <v>3.58</v>
      </c>
      <c r="G39" s="223" t="s">
        <v>311</v>
      </c>
      <c r="H39" s="222">
        <v>3.2560000000000002</v>
      </c>
      <c r="I39" s="222">
        <v>3.4</v>
      </c>
      <c r="J39" s="223" t="s">
        <v>311</v>
      </c>
      <c r="K39" s="222">
        <v>3.6719999999999997</v>
      </c>
      <c r="L39" s="222">
        <v>3.4</v>
      </c>
      <c r="M39" s="223" t="s">
        <v>311</v>
      </c>
      <c r="N39" s="222">
        <v>2.698142857142857</v>
      </c>
      <c r="O39" s="222">
        <v>2.8323809523809524</v>
      </c>
      <c r="P39" s="223" t="s">
        <v>311</v>
      </c>
      <c r="Q39" s="222">
        <v>3.2466666666666661</v>
      </c>
      <c r="R39" s="222">
        <v>3.32</v>
      </c>
      <c r="S39" s="223" t="s">
        <v>311</v>
      </c>
      <c r="T39" s="222">
        <v>3.2640000000000002</v>
      </c>
      <c r="U39" s="222">
        <v>3.2239999999999998</v>
      </c>
      <c r="V39" s="223" t="s">
        <v>311</v>
      </c>
      <c r="W39" s="222">
        <v>3.4751999999999996</v>
      </c>
      <c r="X39" s="222">
        <v>3.4560000000000004</v>
      </c>
      <c r="Y39" s="223" t="s">
        <v>311</v>
      </c>
      <c r="Z39" s="222">
        <v>3.12</v>
      </c>
      <c r="AA39" s="222">
        <v>3.2439999999999998</v>
      </c>
      <c r="AB39" s="223" t="s">
        <v>311</v>
      </c>
      <c r="AC39" s="222">
        <v>3.24</v>
      </c>
      <c r="AD39" s="222">
        <v>3.28</v>
      </c>
      <c r="AE39" s="223" t="s">
        <v>311</v>
      </c>
      <c r="AF39" s="222">
        <v>2.903285714285714</v>
      </c>
      <c r="AG39" s="222">
        <v>3.05</v>
      </c>
      <c r="AH39" s="223" t="s">
        <v>736</v>
      </c>
      <c r="AI39" s="222">
        <v>3.1943999999999999</v>
      </c>
      <c r="AJ39" s="222">
        <v>3.2160000000000002</v>
      </c>
      <c r="AK39" s="223" t="s">
        <v>311</v>
      </c>
      <c r="AL39" s="222"/>
      <c r="AM39" s="222"/>
      <c r="AN39" s="223"/>
      <c r="AO39" s="223"/>
      <c r="AP39" s="223"/>
      <c r="AQ39" s="223"/>
      <c r="AR39" s="223"/>
      <c r="AS39" s="223"/>
      <c r="AT39" s="223"/>
      <c r="AU39" s="223"/>
      <c r="AV39" s="223"/>
      <c r="AW39" s="223"/>
      <c r="AX39" s="222">
        <v>3.2560000000000002</v>
      </c>
      <c r="AY39" s="222">
        <v>3.4</v>
      </c>
      <c r="AZ39" s="223" t="s">
        <v>311</v>
      </c>
      <c r="BA39" s="222">
        <v>3.3280000000000003</v>
      </c>
      <c r="BB39" s="222">
        <v>3.1839999999999997</v>
      </c>
      <c r="BC39" s="223" t="s">
        <v>311</v>
      </c>
      <c r="BD39" s="222">
        <v>3.1719999999999997</v>
      </c>
      <c r="BE39" s="222">
        <v>3.2996000000000003</v>
      </c>
      <c r="BF39" s="223" t="s">
        <v>311</v>
      </c>
      <c r="BG39" s="222">
        <v>2.9466666666666663</v>
      </c>
      <c r="BH39" s="222">
        <v>2.8666666666666663</v>
      </c>
      <c r="BI39" s="223" t="s">
        <v>311</v>
      </c>
      <c r="BJ39" s="222">
        <v>2.76</v>
      </c>
      <c r="BK39" s="222">
        <v>3.05</v>
      </c>
      <c r="BL39" s="223" t="s">
        <v>311</v>
      </c>
      <c r="BM39" s="222">
        <v>3.1680000000000001</v>
      </c>
      <c r="BN39" s="222">
        <v>3.1880000000000002</v>
      </c>
      <c r="BO39" s="223" t="s">
        <v>311</v>
      </c>
      <c r="BP39" s="222"/>
      <c r="BQ39" s="222"/>
      <c r="BR39" s="223"/>
      <c r="BS39" s="222"/>
      <c r="BT39" s="222"/>
      <c r="BU39" s="223"/>
      <c r="BV39" s="222"/>
      <c r="BW39" s="222"/>
      <c r="BX39" s="223"/>
      <c r="BY39" s="223"/>
      <c r="BZ39" s="223"/>
      <c r="CA39" s="223"/>
      <c r="CB39" s="223"/>
      <c r="CC39" s="223"/>
      <c r="CD39" s="223"/>
      <c r="CE39" s="223"/>
      <c r="CF39" s="223"/>
      <c r="CG39" s="223"/>
      <c r="CH39" s="222">
        <v>3.4933333333333336</v>
      </c>
      <c r="CI39" s="222">
        <v>3.5</v>
      </c>
      <c r="CJ39" s="223" t="s">
        <v>311</v>
      </c>
      <c r="CK39" s="222"/>
      <c r="CL39" s="222"/>
      <c r="CM39" s="223"/>
      <c r="CN39" s="208" t="s">
        <v>258</v>
      </c>
      <c r="CO39" s="224"/>
      <c r="CP39" s="208" t="s">
        <v>258</v>
      </c>
      <c r="CQ39" s="224"/>
      <c r="CR39" s="93">
        <v>1</v>
      </c>
      <c r="CS39" s="93">
        <v>1</v>
      </c>
      <c r="CT39" s="93">
        <v>0</v>
      </c>
      <c r="CU39" s="356">
        <f t="shared" si="0"/>
        <v>12</v>
      </c>
      <c r="CY39" s="360">
        <f t="shared" si="1"/>
        <v>57.569695238095235</v>
      </c>
      <c r="CZ39" s="360">
        <f t="shared" si="2"/>
        <v>58.490647619047614</v>
      </c>
      <c r="DA39" s="359">
        <f t="shared" si="3"/>
        <v>116.06034285714284</v>
      </c>
    </row>
    <row r="40" spans="2:105" x14ac:dyDescent="0.25">
      <c r="B40" s="218">
        <v>36</v>
      </c>
      <c r="C40" s="219" t="str">
        <f>Peserta_Didik!D38</f>
        <v>1314.10.142</v>
      </c>
      <c r="D40" s="220" t="str">
        <f>Peserta_Didik!C38</f>
        <v>Yongki Agustin</v>
      </c>
      <c r="E40" s="222">
        <v>3.3679999999999994</v>
      </c>
      <c r="F40" s="222">
        <v>3.34</v>
      </c>
      <c r="G40" s="223" t="s">
        <v>311</v>
      </c>
      <c r="H40" s="222">
        <v>3.12</v>
      </c>
      <c r="I40" s="222">
        <v>3.4</v>
      </c>
      <c r="J40" s="223" t="s">
        <v>311</v>
      </c>
      <c r="K40" s="222">
        <v>3.3360000000000003</v>
      </c>
      <c r="L40" s="222">
        <v>3.4</v>
      </c>
      <c r="M40" s="223" t="s">
        <v>311</v>
      </c>
      <c r="N40" s="222">
        <v>2.7334285714285715</v>
      </c>
      <c r="O40" s="222">
        <v>2.8731428571428577</v>
      </c>
      <c r="P40" s="223" t="s">
        <v>311</v>
      </c>
      <c r="Q40" s="222">
        <v>3.0853333333333328</v>
      </c>
      <c r="R40" s="222">
        <v>3.24</v>
      </c>
      <c r="S40" s="223" t="s">
        <v>311</v>
      </c>
      <c r="T40" s="222">
        <v>3.2640000000000002</v>
      </c>
      <c r="U40" s="222">
        <v>3.2239999999999998</v>
      </c>
      <c r="V40" s="223" t="s">
        <v>311</v>
      </c>
      <c r="W40" s="222">
        <v>3.2415999999999996</v>
      </c>
      <c r="X40" s="222">
        <v>3.22</v>
      </c>
      <c r="Y40" s="223" t="s">
        <v>311</v>
      </c>
      <c r="Z40" s="222">
        <v>3.6</v>
      </c>
      <c r="AA40" s="222">
        <v>3.4249999999999998</v>
      </c>
      <c r="AB40" s="223" t="s">
        <v>311</v>
      </c>
      <c r="AC40" s="222">
        <v>3.2719999999999998</v>
      </c>
      <c r="AD40" s="222">
        <v>3.34</v>
      </c>
      <c r="AE40" s="223" t="s">
        <v>311</v>
      </c>
      <c r="AF40" s="222">
        <v>2.903</v>
      </c>
      <c r="AG40" s="222">
        <v>3.05</v>
      </c>
      <c r="AH40" s="223" t="s">
        <v>311</v>
      </c>
      <c r="AI40" s="222">
        <v>3.0444</v>
      </c>
      <c r="AJ40" s="222">
        <v>3.1760000000000002</v>
      </c>
      <c r="AK40" s="223" t="s">
        <v>311</v>
      </c>
      <c r="AL40" s="222"/>
      <c r="AM40" s="222"/>
      <c r="AN40" s="223"/>
      <c r="AO40" s="223"/>
      <c r="AP40" s="223"/>
      <c r="AQ40" s="223"/>
      <c r="AR40" s="223"/>
      <c r="AS40" s="223"/>
      <c r="AT40" s="223"/>
      <c r="AU40" s="223"/>
      <c r="AV40" s="223"/>
      <c r="AW40" s="223"/>
      <c r="AX40" s="222">
        <v>3.12</v>
      </c>
      <c r="AY40" s="222">
        <v>3.4</v>
      </c>
      <c r="AZ40" s="223" t="s">
        <v>311</v>
      </c>
      <c r="BA40" s="222">
        <v>3.2280000000000002</v>
      </c>
      <c r="BB40" s="222">
        <v>3.1839999999999997</v>
      </c>
      <c r="BC40" s="223" t="s">
        <v>311</v>
      </c>
      <c r="BD40" s="222">
        <v>3.242</v>
      </c>
      <c r="BE40" s="222">
        <v>3.3336000000000001</v>
      </c>
      <c r="BF40" s="223" t="s">
        <v>311</v>
      </c>
      <c r="BG40" s="222">
        <v>3.0933333333333337</v>
      </c>
      <c r="BH40" s="222">
        <v>3.1333333333333337</v>
      </c>
      <c r="BI40" s="223" t="s">
        <v>311</v>
      </c>
      <c r="BJ40" s="222">
        <v>3.08</v>
      </c>
      <c r="BK40" s="222">
        <v>3.25</v>
      </c>
      <c r="BL40" s="223" t="s">
        <v>311</v>
      </c>
      <c r="BM40" s="222">
        <v>3.2280000000000002</v>
      </c>
      <c r="BN40" s="222">
        <v>3.302</v>
      </c>
      <c r="BO40" s="223" t="s">
        <v>311</v>
      </c>
      <c r="BP40" s="222"/>
      <c r="BQ40" s="222"/>
      <c r="BR40" s="223"/>
      <c r="BS40" s="222"/>
      <c r="BT40" s="222"/>
      <c r="BU40" s="223"/>
      <c r="BV40" s="222"/>
      <c r="BW40" s="222"/>
      <c r="BX40" s="223"/>
      <c r="BY40" s="223"/>
      <c r="BZ40" s="223"/>
      <c r="CA40" s="223"/>
      <c r="CB40" s="223"/>
      <c r="CC40" s="223"/>
      <c r="CD40" s="223"/>
      <c r="CE40" s="223"/>
      <c r="CF40" s="223"/>
      <c r="CG40" s="223"/>
      <c r="CH40" s="222">
        <v>3.4466666666666663</v>
      </c>
      <c r="CI40" s="222">
        <v>3.5</v>
      </c>
      <c r="CJ40" s="223" t="s">
        <v>311</v>
      </c>
      <c r="CK40" s="222"/>
      <c r="CL40" s="222"/>
      <c r="CM40" s="223"/>
      <c r="CN40" s="208" t="s">
        <v>737</v>
      </c>
      <c r="CO40" s="224" t="s">
        <v>188</v>
      </c>
      <c r="CP40" s="208" t="s">
        <v>258</v>
      </c>
      <c r="CQ40" s="224"/>
      <c r="CR40" s="93">
        <v>0</v>
      </c>
      <c r="CS40" s="93">
        <v>0</v>
      </c>
      <c r="CT40" s="93">
        <v>0</v>
      </c>
      <c r="CU40" s="356">
        <f t="shared" si="0"/>
        <v>11</v>
      </c>
      <c r="CY40" s="360">
        <f t="shared" si="1"/>
        <v>57.405761904761896</v>
      </c>
      <c r="CZ40" s="360">
        <f t="shared" si="2"/>
        <v>58.791076190476183</v>
      </c>
      <c r="DA40" s="359">
        <f t="shared" si="3"/>
        <v>116.19683809523808</v>
      </c>
    </row>
    <row r="41" spans="2:105" x14ac:dyDescent="0.25">
      <c r="B41" s="218">
        <v>37</v>
      </c>
      <c r="C41" s="219" t="str">
        <f>Peserta_Didik!D39</f>
        <v>1314.10.143</v>
      </c>
      <c r="D41" s="220" t="str">
        <f>Peserta_Didik!C39</f>
        <v>Yusi Ridwan Firdaus</v>
      </c>
      <c r="E41" s="222">
        <v>3.2639999999999998</v>
      </c>
      <c r="F41" s="222">
        <v>3.32</v>
      </c>
      <c r="G41" s="223" t="s">
        <v>311</v>
      </c>
      <c r="H41" s="222">
        <v>3.12</v>
      </c>
      <c r="I41" s="222">
        <v>3.26</v>
      </c>
      <c r="J41" s="223" t="s">
        <v>311</v>
      </c>
      <c r="K41" s="222">
        <v>3.3439999999999999</v>
      </c>
      <c r="L41" s="222">
        <v>3.2</v>
      </c>
      <c r="M41" s="223" t="s">
        <v>311</v>
      </c>
      <c r="N41" s="222">
        <v>2.6280000000000001</v>
      </c>
      <c r="O41" s="222">
        <v>2.6853333333333329</v>
      </c>
      <c r="P41" s="223" t="s">
        <v>311</v>
      </c>
      <c r="Q41" s="222">
        <v>3.0813333333333333</v>
      </c>
      <c r="R41" s="222">
        <v>3.1933333333333334</v>
      </c>
      <c r="S41" s="223" t="s">
        <v>311</v>
      </c>
      <c r="T41" s="222">
        <v>3.2640000000000002</v>
      </c>
      <c r="U41" s="222">
        <v>3.2239999999999998</v>
      </c>
      <c r="V41" s="223" t="s">
        <v>311</v>
      </c>
      <c r="W41" s="222">
        <v>3.2415999999999996</v>
      </c>
      <c r="X41" s="222">
        <v>3.22</v>
      </c>
      <c r="Y41" s="223" t="s">
        <v>311</v>
      </c>
      <c r="Z41" s="222">
        <v>3.12</v>
      </c>
      <c r="AA41" s="222">
        <v>3.4289999999999998</v>
      </c>
      <c r="AB41" s="223" t="s">
        <v>311</v>
      </c>
      <c r="AC41" s="222">
        <v>3.2</v>
      </c>
      <c r="AD41" s="222">
        <v>3.28</v>
      </c>
      <c r="AE41" s="223" t="s">
        <v>311</v>
      </c>
      <c r="AF41" s="222">
        <v>2.8730000000000002</v>
      </c>
      <c r="AG41" s="222">
        <v>3.05</v>
      </c>
      <c r="AH41" s="223" t="s">
        <v>311</v>
      </c>
      <c r="AI41" s="222">
        <v>3.0636000000000001</v>
      </c>
      <c r="AJ41" s="222">
        <v>3.1839999999999997</v>
      </c>
      <c r="AK41" s="223" t="s">
        <v>311</v>
      </c>
      <c r="AL41" s="222"/>
      <c r="AM41" s="222"/>
      <c r="AN41" s="223"/>
      <c r="AO41" s="223"/>
      <c r="AP41" s="223"/>
      <c r="AQ41" s="223"/>
      <c r="AR41" s="223"/>
      <c r="AS41" s="223"/>
      <c r="AT41" s="223"/>
      <c r="AU41" s="223"/>
      <c r="AV41" s="223"/>
      <c r="AW41" s="223"/>
      <c r="AX41" s="222">
        <v>3.12</v>
      </c>
      <c r="AY41" s="222">
        <v>3.26</v>
      </c>
      <c r="AZ41" s="223" t="s">
        <v>311</v>
      </c>
      <c r="BA41" s="222">
        <v>3.2046000000000006</v>
      </c>
      <c r="BB41" s="222">
        <v>3.1839999999999997</v>
      </c>
      <c r="BC41" s="223" t="s">
        <v>311</v>
      </c>
      <c r="BD41" s="222">
        <v>3.1919999999999997</v>
      </c>
      <c r="BE41" s="222">
        <v>3.2755999999999998</v>
      </c>
      <c r="BF41" s="223" t="s">
        <v>311</v>
      </c>
      <c r="BG41" s="222">
        <v>3.0533333333333337</v>
      </c>
      <c r="BH41" s="222">
        <v>3.2333333333333338</v>
      </c>
      <c r="BI41" s="223" t="s">
        <v>311</v>
      </c>
      <c r="BJ41" s="222">
        <v>3</v>
      </c>
      <c r="BK41" s="222">
        <v>3</v>
      </c>
      <c r="BL41" s="223" t="s">
        <v>311</v>
      </c>
      <c r="BM41" s="222">
        <v>3.1880000000000002</v>
      </c>
      <c r="BN41" s="222">
        <v>3.2280000000000002</v>
      </c>
      <c r="BO41" s="223" t="s">
        <v>311</v>
      </c>
      <c r="BP41" s="222"/>
      <c r="BQ41" s="222"/>
      <c r="BR41" s="223"/>
      <c r="BS41" s="222"/>
      <c r="BT41" s="222"/>
      <c r="BU41" s="223"/>
      <c r="BV41" s="222"/>
      <c r="BW41" s="222"/>
      <c r="BX41" s="223"/>
      <c r="BY41" s="223"/>
      <c r="BZ41" s="223"/>
      <c r="CA41" s="223"/>
      <c r="CB41" s="223"/>
      <c r="CC41" s="223"/>
      <c r="CD41" s="223"/>
      <c r="CE41" s="223"/>
      <c r="CF41" s="223"/>
      <c r="CG41" s="223"/>
      <c r="CH41" s="222">
        <v>3.4333333333333336</v>
      </c>
      <c r="CI41" s="222">
        <v>3.5</v>
      </c>
      <c r="CJ41" s="223" t="s">
        <v>311</v>
      </c>
      <c r="CK41" s="222"/>
      <c r="CL41" s="222"/>
      <c r="CM41" s="223"/>
      <c r="CN41" s="208" t="s">
        <v>737</v>
      </c>
      <c r="CO41" s="224" t="s">
        <v>311</v>
      </c>
      <c r="CP41" s="208" t="s">
        <v>258</v>
      </c>
      <c r="CQ41" s="224"/>
      <c r="CR41" s="93">
        <v>3</v>
      </c>
      <c r="CS41" s="93">
        <v>0</v>
      </c>
      <c r="CT41" s="93">
        <v>0</v>
      </c>
      <c r="CU41" s="356">
        <f t="shared" si="0"/>
        <v>30</v>
      </c>
      <c r="CY41" s="360">
        <f t="shared" si="1"/>
        <v>56.390799999999999</v>
      </c>
      <c r="CZ41" s="360">
        <f t="shared" si="2"/>
        <v>57.726599999999991</v>
      </c>
      <c r="DA41" s="359">
        <f t="shared" si="3"/>
        <v>114.11739999999999</v>
      </c>
    </row>
    <row r="42" spans="2:105" x14ac:dyDescent="0.25">
      <c r="B42" s="218">
        <v>38</v>
      </c>
      <c r="C42" s="219" t="str">
        <f>Peserta_Didik!D40</f>
        <v>1314.10.144</v>
      </c>
      <c r="D42" s="220" t="str">
        <f>Peserta_Didik!C40</f>
        <v>Zineda Zidan</v>
      </c>
      <c r="E42" s="222">
        <v>3.2879999999999994</v>
      </c>
      <c r="F42" s="222">
        <v>3.24</v>
      </c>
      <c r="G42" s="223" t="s">
        <v>311</v>
      </c>
      <c r="H42" s="222">
        <v>3.1280000000000001</v>
      </c>
      <c r="I42" s="222">
        <v>3.28</v>
      </c>
      <c r="J42" s="223" t="s">
        <v>311</v>
      </c>
      <c r="K42" s="222">
        <v>3.6719999999999997</v>
      </c>
      <c r="L42" s="222">
        <v>3.2</v>
      </c>
      <c r="M42" s="223" t="s">
        <v>311</v>
      </c>
      <c r="N42" s="222">
        <v>3.1661428571428569</v>
      </c>
      <c r="O42" s="222">
        <v>3.3737142857142857</v>
      </c>
      <c r="P42" s="223" t="s">
        <v>311</v>
      </c>
      <c r="Q42" s="222">
        <v>3.2159999999999997</v>
      </c>
      <c r="R42" s="222">
        <v>3.2</v>
      </c>
      <c r="S42" s="223" t="s">
        <v>311</v>
      </c>
      <c r="T42" s="222">
        <v>3.2640000000000002</v>
      </c>
      <c r="U42" s="222">
        <v>3.2239999999999998</v>
      </c>
      <c r="V42" s="223" t="s">
        <v>311</v>
      </c>
      <c r="W42" s="222">
        <v>3.2368000000000001</v>
      </c>
      <c r="X42" s="222">
        <v>3.2319999999999998</v>
      </c>
      <c r="Y42" s="223" t="s">
        <v>311</v>
      </c>
      <c r="Z42" s="222">
        <v>3.2</v>
      </c>
      <c r="AA42" s="222">
        <v>3.2239999999999998</v>
      </c>
      <c r="AB42" s="223" t="s">
        <v>311</v>
      </c>
      <c r="AC42" s="222">
        <v>3.24</v>
      </c>
      <c r="AD42" s="222">
        <v>3.28</v>
      </c>
      <c r="AE42" s="223" t="s">
        <v>311</v>
      </c>
      <c r="AF42" s="222">
        <v>3.048</v>
      </c>
      <c r="AG42" s="222">
        <v>3.13</v>
      </c>
      <c r="AH42" s="223" t="s">
        <v>311</v>
      </c>
      <c r="AI42" s="222">
        <v>3.1280000000000001</v>
      </c>
      <c r="AJ42" s="222">
        <v>3.1680000000000001</v>
      </c>
      <c r="AK42" s="223" t="s">
        <v>311</v>
      </c>
      <c r="AL42" s="222"/>
      <c r="AM42" s="222"/>
      <c r="AN42" s="223"/>
      <c r="AO42" s="223"/>
      <c r="AP42" s="223"/>
      <c r="AQ42" s="223"/>
      <c r="AR42" s="223"/>
      <c r="AS42" s="223"/>
      <c r="AT42" s="223"/>
      <c r="AU42" s="223"/>
      <c r="AV42" s="223"/>
      <c r="AW42" s="223"/>
      <c r="AX42" s="222">
        <v>3.1280000000000001</v>
      </c>
      <c r="AY42" s="222">
        <v>3.28</v>
      </c>
      <c r="AZ42" s="223" t="s">
        <v>311</v>
      </c>
      <c r="BA42" s="222">
        <v>3.1519999999999997</v>
      </c>
      <c r="BB42" s="222">
        <v>3.1839999999999997</v>
      </c>
      <c r="BC42" s="223" t="s">
        <v>311</v>
      </c>
      <c r="BD42" s="222">
        <v>3.258</v>
      </c>
      <c r="BE42" s="222">
        <v>3.2639999999999998</v>
      </c>
      <c r="BF42" s="223" t="s">
        <v>311</v>
      </c>
      <c r="BG42" s="222">
        <v>3.0826666666666664</v>
      </c>
      <c r="BH42" s="222">
        <v>3.0666666666666664</v>
      </c>
      <c r="BI42" s="223" t="s">
        <v>311</v>
      </c>
      <c r="BJ42" s="222">
        <v>3</v>
      </c>
      <c r="BK42" s="222">
        <v>3.3</v>
      </c>
      <c r="BL42" s="223" t="s">
        <v>311</v>
      </c>
      <c r="BM42" s="222">
        <v>3.2480000000000002</v>
      </c>
      <c r="BN42" s="222">
        <v>3.3080000000000003</v>
      </c>
      <c r="BO42" s="223" t="s">
        <v>311</v>
      </c>
      <c r="BP42" s="222"/>
      <c r="BQ42" s="222"/>
      <c r="BR42" s="223"/>
      <c r="BS42" s="222"/>
      <c r="BT42" s="222"/>
      <c r="BU42" s="223"/>
      <c r="BV42" s="222"/>
      <c r="BW42" s="222"/>
      <c r="BX42" s="223"/>
      <c r="BY42" s="223"/>
      <c r="BZ42" s="223"/>
      <c r="CA42" s="223"/>
      <c r="CB42" s="223"/>
      <c r="CC42" s="223"/>
      <c r="CD42" s="223"/>
      <c r="CE42" s="223"/>
      <c r="CF42" s="223"/>
      <c r="CG42" s="223"/>
      <c r="CH42" s="222">
        <v>3.4933333333333336</v>
      </c>
      <c r="CI42" s="222">
        <v>3.5</v>
      </c>
      <c r="CJ42" s="223" t="s">
        <v>311</v>
      </c>
      <c r="CK42" s="222"/>
      <c r="CL42" s="222"/>
      <c r="CM42" s="223"/>
      <c r="CN42" s="208" t="s">
        <v>737</v>
      </c>
      <c r="CO42" s="224" t="s">
        <v>311</v>
      </c>
      <c r="CP42" s="208" t="s">
        <v>258</v>
      </c>
      <c r="CQ42" s="224"/>
      <c r="CR42" s="93">
        <v>2</v>
      </c>
      <c r="CS42" s="93">
        <v>1</v>
      </c>
      <c r="CT42" s="93">
        <v>0</v>
      </c>
      <c r="CU42" s="356">
        <f t="shared" si="0"/>
        <v>9</v>
      </c>
      <c r="CY42" s="360">
        <f t="shared" si="1"/>
        <v>57.94894285714286</v>
      </c>
      <c r="CZ42" s="360">
        <f t="shared" si="2"/>
        <v>58.454380952380951</v>
      </c>
      <c r="DA42" s="359">
        <f t="shared" si="3"/>
        <v>116.40332380952381</v>
      </c>
    </row>
    <row r="43" spans="2:105" x14ac:dyDescent="0.25">
      <c r="B43" s="218">
        <v>39</v>
      </c>
      <c r="C43" s="219">
        <f>Peserta_Didik!D41</f>
        <v>0</v>
      </c>
      <c r="D43" s="220">
        <f>Peserta_Didik!C41</f>
        <v>0</v>
      </c>
      <c r="E43" s="222"/>
      <c r="F43" s="222"/>
      <c r="G43" s="223"/>
      <c r="H43" s="222"/>
      <c r="I43" s="222"/>
      <c r="J43" s="223"/>
      <c r="K43" s="222"/>
      <c r="L43" s="222"/>
      <c r="M43" s="223"/>
      <c r="N43" s="222"/>
      <c r="O43" s="222"/>
      <c r="P43" s="223"/>
      <c r="Q43" s="222"/>
      <c r="R43" s="222"/>
      <c r="S43" s="223"/>
      <c r="T43" s="222"/>
      <c r="U43" s="222"/>
      <c r="V43" s="223"/>
      <c r="W43" s="222"/>
      <c r="X43" s="222"/>
      <c r="Y43" s="223"/>
      <c r="Z43" s="222"/>
      <c r="AA43" s="222"/>
      <c r="AB43" s="223"/>
      <c r="AC43" s="222"/>
      <c r="AD43" s="222"/>
      <c r="AE43" s="223"/>
      <c r="AF43" s="222"/>
      <c r="AG43" s="222"/>
      <c r="AH43" s="223"/>
      <c r="AI43" s="222"/>
      <c r="AJ43" s="222"/>
      <c r="AK43" s="223"/>
      <c r="AL43" s="222"/>
      <c r="AM43" s="222"/>
      <c r="AN43" s="223"/>
      <c r="AO43" s="223"/>
      <c r="AP43" s="223"/>
      <c r="AQ43" s="223"/>
      <c r="AR43" s="223"/>
      <c r="AS43" s="223"/>
      <c r="AT43" s="223"/>
      <c r="AU43" s="223"/>
      <c r="AV43" s="223"/>
      <c r="AW43" s="223"/>
      <c r="AX43" s="222"/>
      <c r="AY43" s="222"/>
      <c r="AZ43" s="223"/>
      <c r="BA43" s="222"/>
      <c r="BB43" s="222"/>
      <c r="BC43" s="223"/>
      <c r="BD43" s="222"/>
      <c r="BE43" s="222"/>
      <c r="BF43" s="223"/>
      <c r="BG43" s="222"/>
      <c r="BH43" s="222"/>
      <c r="BI43" s="223"/>
      <c r="BJ43" s="222"/>
      <c r="BK43" s="222"/>
      <c r="BL43" s="223"/>
      <c r="BM43" s="223"/>
      <c r="BN43" s="223"/>
      <c r="BO43" s="223"/>
      <c r="BP43" s="222"/>
      <c r="BQ43" s="222"/>
      <c r="BR43" s="223"/>
      <c r="BS43" s="222"/>
      <c r="BT43" s="222"/>
      <c r="BU43" s="223"/>
      <c r="BV43" s="222"/>
      <c r="BW43" s="222"/>
      <c r="BX43" s="223"/>
      <c r="BY43" s="223"/>
      <c r="BZ43" s="223"/>
      <c r="CA43" s="223"/>
      <c r="CB43" s="223"/>
      <c r="CC43" s="223"/>
      <c r="CD43" s="223"/>
      <c r="CE43" s="223"/>
      <c r="CF43" s="223"/>
      <c r="CG43" s="223"/>
      <c r="CH43" s="223"/>
      <c r="CI43" s="223"/>
      <c r="CJ43" s="223"/>
      <c r="CK43" s="222"/>
      <c r="CL43" s="222"/>
      <c r="CM43" s="223"/>
      <c r="CN43" s="208" t="s">
        <v>258</v>
      </c>
      <c r="CO43" s="224"/>
      <c r="CP43" s="208" t="s">
        <v>258</v>
      </c>
      <c r="CQ43" s="224"/>
      <c r="CR43" s="93"/>
      <c r="CS43" s="93"/>
      <c r="CT43" s="93"/>
      <c r="CU43" s="356">
        <f t="shared" si="0"/>
        <v>39</v>
      </c>
      <c r="CY43" s="360">
        <f t="shared" si="1"/>
        <v>0</v>
      </c>
      <c r="CZ43" s="360">
        <f t="shared" si="2"/>
        <v>0</v>
      </c>
      <c r="DA43" s="359">
        <f t="shared" si="3"/>
        <v>0</v>
      </c>
    </row>
    <row r="44" spans="2:105" x14ac:dyDescent="0.25">
      <c r="B44" s="218">
        <v>40</v>
      </c>
      <c r="C44" s="219">
        <f>Peserta_Didik!D42</f>
        <v>0</v>
      </c>
      <c r="D44" s="220">
        <f>Peserta_Didik!C42</f>
        <v>0</v>
      </c>
      <c r="E44" s="222"/>
      <c r="F44" s="222"/>
      <c r="G44" s="223"/>
      <c r="H44" s="222"/>
      <c r="I44" s="222"/>
      <c r="J44" s="223"/>
      <c r="K44" s="222"/>
      <c r="L44" s="222"/>
      <c r="M44" s="223"/>
      <c r="N44" s="222"/>
      <c r="O44" s="222"/>
      <c r="P44" s="223"/>
      <c r="Q44" s="222"/>
      <c r="R44" s="222"/>
      <c r="S44" s="223"/>
      <c r="T44" s="222"/>
      <c r="U44" s="222"/>
      <c r="V44" s="223"/>
      <c r="W44" s="222"/>
      <c r="X44" s="222"/>
      <c r="Y44" s="223"/>
      <c r="Z44" s="222"/>
      <c r="AA44" s="222"/>
      <c r="AB44" s="223"/>
      <c r="AC44" s="222"/>
      <c r="AD44" s="222"/>
      <c r="AE44" s="223"/>
      <c r="AF44" s="222"/>
      <c r="AG44" s="222"/>
      <c r="AH44" s="223"/>
      <c r="AI44" s="222"/>
      <c r="AJ44" s="222"/>
      <c r="AK44" s="223"/>
      <c r="AL44" s="222"/>
      <c r="AM44" s="222"/>
      <c r="AN44" s="223"/>
      <c r="AO44" s="223"/>
      <c r="AP44" s="223"/>
      <c r="AQ44" s="223"/>
      <c r="AR44" s="223"/>
      <c r="AS44" s="223"/>
      <c r="AT44" s="223"/>
      <c r="AU44" s="223"/>
      <c r="AV44" s="223"/>
      <c r="AW44" s="223"/>
      <c r="AX44" s="222"/>
      <c r="AY44" s="222"/>
      <c r="AZ44" s="223"/>
      <c r="BA44" s="222"/>
      <c r="BB44" s="222"/>
      <c r="BC44" s="223"/>
      <c r="BD44" s="222"/>
      <c r="BE44" s="222"/>
      <c r="BF44" s="223"/>
      <c r="BG44" s="222"/>
      <c r="BH44" s="222"/>
      <c r="BI44" s="223"/>
      <c r="BJ44" s="222"/>
      <c r="BK44" s="222"/>
      <c r="BL44" s="223"/>
      <c r="BM44" s="223"/>
      <c r="BN44" s="223"/>
      <c r="BO44" s="223"/>
      <c r="BP44" s="222"/>
      <c r="BQ44" s="222"/>
      <c r="BR44" s="223"/>
      <c r="BS44" s="222"/>
      <c r="BT44" s="222"/>
      <c r="BU44" s="223"/>
      <c r="BV44" s="222"/>
      <c r="BW44" s="222"/>
      <c r="BX44" s="223"/>
      <c r="BY44" s="223"/>
      <c r="BZ44" s="223"/>
      <c r="CA44" s="223"/>
      <c r="CB44" s="223"/>
      <c r="CC44" s="223"/>
      <c r="CD44" s="223"/>
      <c r="CE44" s="223"/>
      <c r="CF44" s="223"/>
      <c r="CG44" s="223"/>
      <c r="CH44" s="223"/>
      <c r="CI44" s="223"/>
      <c r="CJ44" s="223"/>
      <c r="CK44" s="222"/>
      <c r="CL44" s="222"/>
      <c r="CM44" s="223"/>
      <c r="CN44" s="208" t="s">
        <v>258</v>
      </c>
      <c r="CO44" s="224"/>
      <c r="CP44" s="208" t="s">
        <v>258</v>
      </c>
      <c r="CQ44" s="224"/>
      <c r="CR44" s="93"/>
      <c r="CS44" s="93"/>
      <c r="CT44" s="93"/>
      <c r="CU44" s="356">
        <f t="shared" si="0"/>
        <v>39</v>
      </c>
      <c r="CY44" s="360">
        <f t="shared" si="1"/>
        <v>0</v>
      </c>
      <c r="CZ44" s="360">
        <f t="shared" si="2"/>
        <v>0</v>
      </c>
      <c r="DA44" s="359">
        <f t="shared" si="3"/>
        <v>0</v>
      </c>
    </row>
    <row r="45" spans="2:105" x14ac:dyDescent="0.25">
      <c r="N45" s="378"/>
      <c r="O45" s="378"/>
      <c r="AF45" s="378"/>
    </row>
    <row r="46" spans="2:105" ht="24.75" customHeight="1" x14ac:dyDescent="0.25">
      <c r="B46" s="395" t="s">
        <v>180</v>
      </c>
      <c r="C46" s="395"/>
      <c r="D46" s="395"/>
      <c r="E46" s="136"/>
      <c r="F46" s="136"/>
      <c r="G46" s="136"/>
      <c r="H46" s="136"/>
      <c r="I46" s="136"/>
      <c r="J46" s="136"/>
      <c r="K46" s="136"/>
      <c r="L46" s="136"/>
      <c r="M46" s="136"/>
      <c r="N46" s="359"/>
      <c r="O46" s="359"/>
      <c r="P46" s="136"/>
      <c r="Q46" s="136"/>
      <c r="R46" s="136"/>
      <c r="S46" s="136"/>
      <c r="T46" s="136"/>
      <c r="U46" s="136"/>
      <c r="V46" s="136"/>
      <c r="W46" s="136"/>
      <c r="X46" s="136"/>
      <c r="Y46" s="136"/>
      <c r="Z46" s="136"/>
      <c r="AA46" s="136"/>
      <c r="AB46" s="136"/>
      <c r="AC46" s="136"/>
      <c r="AD46" s="136"/>
      <c r="AE46" s="136"/>
      <c r="AF46" s="359"/>
      <c r="AG46" s="136"/>
      <c r="AH46" s="136"/>
      <c r="AI46" s="136"/>
      <c r="AJ46" s="136"/>
      <c r="AK46" s="136"/>
      <c r="AL46" s="136"/>
      <c r="AM46" s="136"/>
      <c r="AN46" s="136"/>
      <c r="AO46" s="136"/>
      <c r="AP46" s="136"/>
      <c r="AQ46" s="136"/>
      <c r="AR46" s="136"/>
      <c r="AS46" s="136"/>
      <c r="AT46" s="136"/>
      <c r="AU46" s="136"/>
      <c r="AV46" s="136"/>
      <c r="AW46" s="136"/>
      <c r="AX46" s="136"/>
      <c r="AY46" s="136"/>
      <c r="AZ46" s="136"/>
      <c r="BA46" s="136"/>
      <c r="BB46" s="136"/>
      <c r="BC46" s="136"/>
      <c r="BD46" s="136"/>
      <c r="BE46" s="136"/>
      <c r="BF46" s="136"/>
      <c r="BG46" s="136"/>
      <c r="BH46" s="136"/>
      <c r="BI46" s="136"/>
      <c r="BJ46" s="136"/>
      <c r="BK46" s="136"/>
      <c r="BL46" s="136"/>
      <c r="BM46" s="136"/>
      <c r="BN46" s="136"/>
      <c r="BO46" s="136"/>
      <c r="BP46" s="136"/>
      <c r="BQ46" s="136"/>
      <c r="BR46" s="136"/>
      <c r="BS46" s="136"/>
      <c r="BT46" s="136"/>
      <c r="BU46" s="136"/>
      <c r="BV46" s="136"/>
      <c r="BW46" s="136"/>
      <c r="BX46" s="136"/>
      <c r="BY46" s="136"/>
      <c r="BZ46" s="136"/>
      <c r="CA46" s="136"/>
      <c r="CB46" s="136"/>
      <c r="CC46" s="136"/>
      <c r="CD46" s="136"/>
      <c r="CE46" s="136"/>
      <c r="CF46" s="136"/>
      <c r="CG46" s="136"/>
      <c r="CH46" s="136"/>
      <c r="CI46" s="136"/>
      <c r="CJ46" s="136"/>
      <c r="CK46" s="136"/>
      <c r="CL46" s="136"/>
      <c r="CM46" s="136"/>
      <c r="CN46" s="247"/>
      <c r="CO46" s="136"/>
      <c r="CP46" s="247"/>
      <c r="CQ46" s="136"/>
    </row>
    <row r="47" spans="2:105" x14ac:dyDescent="0.25">
      <c r="N47" s="378"/>
      <c r="O47" s="378"/>
      <c r="AF47" s="378"/>
    </row>
    <row r="48" spans="2:105" x14ac:dyDescent="0.25">
      <c r="N48" s="378"/>
      <c r="O48" s="378"/>
      <c r="AF48" s="378"/>
    </row>
    <row r="49" spans="14:32" x14ac:dyDescent="0.25">
      <c r="N49" s="378"/>
      <c r="O49" s="378"/>
      <c r="AF49" s="378"/>
    </row>
    <row r="50" spans="14:32" x14ac:dyDescent="0.25">
      <c r="N50" s="378"/>
      <c r="O50" s="378"/>
      <c r="AF50" s="378"/>
    </row>
    <row r="51" spans="14:32" x14ac:dyDescent="0.25">
      <c r="N51" s="378"/>
      <c r="O51" s="378"/>
      <c r="AF51" s="378"/>
    </row>
    <row r="52" spans="14:32" x14ac:dyDescent="0.25">
      <c r="N52" s="378"/>
      <c r="O52" s="378"/>
      <c r="AF52" s="378"/>
    </row>
    <row r="53" spans="14:32" x14ac:dyDescent="0.25">
      <c r="N53" s="378"/>
      <c r="O53" s="378"/>
      <c r="AF53" s="378"/>
    </row>
    <row r="54" spans="14:32" x14ac:dyDescent="0.25">
      <c r="N54" s="378"/>
      <c r="O54" s="378"/>
      <c r="AF54" s="378"/>
    </row>
    <row r="55" spans="14:32" x14ac:dyDescent="0.25">
      <c r="N55" s="378"/>
      <c r="O55" s="378"/>
      <c r="AF55" s="378"/>
    </row>
    <row r="56" spans="14:32" x14ac:dyDescent="0.25">
      <c r="N56" s="378"/>
      <c r="O56" s="378"/>
      <c r="AF56" s="378"/>
    </row>
    <row r="57" spans="14:32" x14ac:dyDescent="0.25">
      <c r="AF57" s="378"/>
    </row>
  </sheetData>
  <sheetProtection selectLockedCells="1"/>
  <mergeCells count="43">
    <mergeCell ref="CR2:CT2"/>
    <mergeCell ref="CR3:CR4"/>
    <mergeCell ref="CS3:CS4"/>
    <mergeCell ref="CT3:CT4"/>
    <mergeCell ref="BP3:BR3"/>
    <mergeCell ref="BS3:BU3"/>
    <mergeCell ref="BV3:BX3"/>
    <mergeCell ref="CN2:CQ2"/>
    <mergeCell ref="CK3:CM3"/>
    <mergeCell ref="CN3:CO3"/>
    <mergeCell ref="CP3:CQ3"/>
    <mergeCell ref="BP2:CG2"/>
    <mergeCell ref="BY3:CA3"/>
    <mergeCell ref="CB3:CD3"/>
    <mergeCell ref="CE3:CG3"/>
    <mergeCell ref="CH2:CM2"/>
    <mergeCell ref="B46:D46"/>
    <mergeCell ref="E2:V2"/>
    <mergeCell ref="E3:G3"/>
    <mergeCell ref="H3:J3"/>
    <mergeCell ref="K3:M3"/>
    <mergeCell ref="N3:P3"/>
    <mergeCell ref="Q3:S3"/>
    <mergeCell ref="T3:V3"/>
    <mergeCell ref="W3:Y3"/>
    <mergeCell ref="Z3:AB3"/>
    <mergeCell ref="AC3:AE3"/>
    <mergeCell ref="W2:AE2"/>
    <mergeCell ref="AF3:AH3"/>
    <mergeCell ref="CH3:CJ3"/>
    <mergeCell ref="AO3:AQ3"/>
    <mergeCell ref="AR3:AT3"/>
    <mergeCell ref="AU3:AW3"/>
    <mergeCell ref="AF2:AW2"/>
    <mergeCell ref="AI3:AK3"/>
    <mergeCell ref="AL3:AN3"/>
    <mergeCell ref="AX3:AZ3"/>
    <mergeCell ref="BA3:BC3"/>
    <mergeCell ref="BD3:BF3"/>
    <mergeCell ref="BG3:BI3"/>
    <mergeCell ref="BJ3:BL3"/>
    <mergeCell ref="AX2:BO2"/>
    <mergeCell ref="BM3:BO3"/>
  </mergeCells>
  <dataValidations count="2">
    <dataValidation type="list" allowBlank="1" showInputMessage="1" showErrorMessage="1" sqref="CN5:CN44">
      <formula1>$CV$5:$CV$8</formula1>
    </dataValidation>
    <dataValidation type="list" allowBlank="1" showInputMessage="1" showErrorMessage="1" sqref="CP5:CP44">
      <formula1>$CW$5:$CW$27</formula1>
    </dataValidation>
  </dataValidations>
  <hyperlinks>
    <hyperlink ref="B46:C46" location="'RK2013'!A1" display="Kembali Ke Halaman Menu Utama"/>
  </hyperlinks>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2:G41"/>
  <sheetViews>
    <sheetView showGridLines="0" showRowColHeaders="0" zoomScale="68" zoomScaleNormal="68" workbookViewId="0">
      <selection activeCell="E2" sqref="E2"/>
    </sheetView>
  </sheetViews>
  <sheetFormatPr defaultRowHeight="15" x14ac:dyDescent="0.25"/>
  <cols>
    <col min="1" max="1" width="66.7109375" style="6" bestFit="1" customWidth="1"/>
    <col min="2" max="2" width="20.28515625" customWidth="1"/>
    <col min="3" max="3" width="2.28515625" customWidth="1"/>
    <col min="4" max="4" width="16.140625" customWidth="1"/>
    <col min="5" max="5" width="12" customWidth="1"/>
    <col min="6" max="6" width="4" customWidth="1"/>
    <col min="7" max="7" width="9.140625" style="21"/>
  </cols>
  <sheetData>
    <row r="2" spans="1:7" ht="17.25" customHeight="1" x14ac:dyDescent="0.3">
      <c r="D2" s="45" t="s">
        <v>177</v>
      </c>
      <c r="E2" s="226">
        <v>5</v>
      </c>
      <c r="G2" s="21">
        <f>IF(Peserta_Didik!C3&lt;&gt;"",Peserta_Didik!B3,"")</f>
        <v>1</v>
      </c>
    </row>
    <row r="3" spans="1:7" ht="138" customHeight="1" x14ac:dyDescent="0.25">
      <c r="A3" s="444"/>
      <c r="B3" s="444"/>
      <c r="G3" s="21">
        <f>IF(Peserta_Didik!C4&lt;&gt;"",Peserta_Didik!B4,"")</f>
        <v>2</v>
      </c>
    </row>
    <row r="4" spans="1:7" ht="27.75" customHeight="1" x14ac:dyDescent="0.3">
      <c r="A4" s="445" t="s">
        <v>13</v>
      </c>
      <c r="B4" s="445"/>
      <c r="G4" s="21">
        <f>IF(Peserta_Didik!C5&lt;&gt;"",Peserta_Didik!B5,"")</f>
        <v>3</v>
      </c>
    </row>
    <row r="5" spans="1:7" ht="27.75" customHeight="1" x14ac:dyDescent="0.3">
      <c r="A5" s="445" t="s">
        <v>14</v>
      </c>
      <c r="B5" s="445"/>
      <c r="G5" s="21">
        <f>IF(Peserta_Didik!C6&lt;&gt;"",Peserta_Didik!B6,"")</f>
        <v>4</v>
      </c>
    </row>
    <row r="6" spans="1:7" ht="27.75" customHeight="1" x14ac:dyDescent="0.3">
      <c r="A6" s="446" t="s">
        <v>272</v>
      </c>
      <c r="B6" s="446"/>
      <c r="G6" s="21">
        <f>IF(Peserta_Didik!C7&lt;&gt;"",Peserta_Didik!B7,"")</f>
        <v>5</v>
      </c>
    </row>
    <row r="7" spans="1:7" ht="27.75" customHeight="1" x14ac:dyDescent="0.35">
      <c r="A7" s="447" t="str">
        <f>Informasi_Rapot!C3</f>
        <v>SMK NEGERI 2 BALEENDAH</v>
      </c>
      <c r="B7" s="447"/>
      <c r="G7" s="21">
        <f>IF(Peserta_Didik!C8&lt;&gt;"",Peserta_Didik!B8,"")</f>
        <v>6</v>
      </c>
    </row>
    <row r="8" spans="1:7" ht="25.5" customHeight="1" x14ac:dyDescent="0.25">
      <c r="A8" s="5"/>
      <c r="G8" s="21">
        <f>IF(Peserta_Didik!C9&lt;&gt;"",Peserta_Didik!B9,"")</f>
        <v>7</v>
      </c>
    </row>
    <row r="9" spans="1:7" ht="25.5" customHeight="1" x14ac:dyDescent="0.25">
      <c r="A9" s="5"/>
      <c r="G9" s="21">
        <f>IF(Peserta_Didik!C10&lt;&gt;"",Peserta_Didik!B10,"")</f>
        <v>8</v>
      </c>
    </row>
    <row r="10" spans="1:7" ht="25.5" customHeight="1" x14ac:dyDescent="0.25">
      <c r="A10" s="5"/>
      <c r="G10" s="21">
        <f>IF(Peserta_Didik!C11&lt;&gt;"",Peserta_Didik!B11,"")</f>
        <v>9</v>
      </c>
    </row>
    <row r="11" spans="1:7" ht="25.5" customHeight="1" x14ac:dyDescent="0.25">
      <c r="A11" s="5"/>
      <c r="G11" s="21">
        <f>IF(Peserta_Didik!C12&lt;&gt;"",Peserta_Didik!B12,"")</f>
        <v>10</v>
      </c>
    </row>
    <row r="12" spans="1:7" ht="56.25" customHeight="1" x14ac:dyDescent="0.25">
      <c r="A12" s="5"/>
      <c r="G12" s="21">
        <f>IF(Peserta_Didik!C13&lt;&gt;"",Peserta_Didik!B13,"")</f>
        <v>11</v>
      </c>
    </row>
    <row r="13" spans="1:7" ht="25.5" customHeight="1" x14ac:dyDescent="0.25">
      <c r="A13" s="443" t="s">
        <v>15</v>
      </c>
      <c r="B13" s="443"/>
      <c r="G13" s="21">
        <f>IF(Peserta_Didik!C14&lt;&gt;"",Peserta_Didik!B14,"")</f>
        <v>12</v>
      </c>
    </row>
    <row r="14" spans="1:7" ht="18.75" customHeight="1" x14ac:dyDescent="0.25">
      <c r="A14" s="5"/>
      <c r="G14" s="21">
        <f>IF(Peserta_Didik!C15&lt;&gt;"",Peserta_Didik!B15,"")</f>
        <v>13</v>
      </c>
    </row>
    <row r="15" spans="1:7" ht="25.5" customHeight="1" x14ac:dyDescent="0.25">
      <c r="A15" s="448" t="str">
        <f>VLOOKUP(E2,Peserta_Didik!B3:D42,2,0)</f>
        <v>Cecep Solehudin</v>
      </c>
      <c r="B15" s="448"/>
      <c r="G15" s="21">
        <f>IF(Peserta_Didik!C16&lt;&gt;"",Peserta_Didik!B16,"")</f>
        <v>14</v>
      </c>
    </row>
    <row r="16" spans="1:7" ht="25.5" customHeight="1" x14ac:dyDescent="0.25">
      <c r="A16" s="449" t="str">
        <f>"Nomor Induk : "&amp;VLOOKUP(E2,Peserta_Didik!B3:D42,3,0)</f>
        <v>Nomor Induk : 1314.10.111</v>
      </c>
      <c r="B16" s="449"/>
      <c r="G16" s="21">
        <f>IF(Peserta_Didik!C17&lt;&gt;"",Peserta_Didik!B17,"")</f>
        <v>15</v>
      </c>
    </row>
    <row r="17" spans="1:7" ht="78" customHeight="1" x14ac:dyDescent="0.25">
      <c r="A17" s="5"/>
      <c r="G17" s="21">
        <f>IF(Peserta_Didik!C18&lt;&gt;"",Peserta_Didik!B18,"")</f>
        <v>16</v>
      </c>
    </row>
    <row r="18" spans="1:7" ht="25.5" customHeight="1" x14ac:dyDescent="0.25">
      <c r="A18" s="443" t="s">
        <v>16</v>
      </c>
      <c r="B18" s="443"/>
      <c r="G18" s="21">
        <f>IF(Peserta_Didik!C19&lt;&gt;"",Peserta_Didik!B19,"")</f>
        <v>17</v>
      </c>
    </row>
    <row r="19" spans="1:7" ht="25.5" customHeight="1" x14ac:dyDescent="0.25">
      <c r="A19" s="443" t="s">
        <v>17</v>
      </c>
      <c r="B19" s="443"/>
      <c r="G19" s="21">
        <f>IF(Peserta_Didik!C20&lt;&gt;"",Peserta_Didik!B20,"")</f>
        <v>18</v>
      </c>
    </row>
    <row r="20" spans="1:7" x14ac:dyDescent="0.25">
      <c r="G20" s="21">
        <f>IF(Peserta_Didik!C21&lt;&gt;"",Peserta_Didik!B21,"")</f>
        <v>19</v>
      </c>
    </row>
    <row r="21" spans="1:7" x14ac:dyDescent="0.25">
      <c r="G21" s="21">
        <f>IF(Peserta_Didik!C22&lt;&gt;"",Peserta_Didik!B22,"")</f>
        <v>20</v>
      </c>
    </row>
    <row r="22" spans="1:7" x14ac:dyDescent="0.25">
      <c r="G22" s="21">
        <f>IF(Peserta_Didik!C23&lt;&gt;"",Peserta_Didik!B23,"")</f>
        <v>21</v>
      </c>
    </row>
    <row r="23" spans="1:7" x14ac:dyDescent="0.25">
      <c r="G23" s="21">
        <f>IF(Peserta_Didik!C24&lt;&gt;"",Peserta_Didik!B24,"")</f>
        <v>22</v>
      </c>
    </row>
    <row r="24" spans="1:7" x14ac:dyDescent="0.25">
      <c r="G24" s="21">
        <f>IF(Peserta_Didik!C25&lt;&gt;"",Peserta_Didik!B25,"")</f>
        <v>23</v>
      </c>
    </row>
    <row r="25" spans="1:7" x14ac:dyDescent="0.25">
      <c r="G25" s="21">
        <f>IF(Peserta_Didik!C26&lt;&gt;"",Peserta_Didik!B26,"")</f>
        <v>24</v>
      </c>
    </row>
    <row r="26" spans="1:7" x14ac:dyDescent="0.25">
      <c r="G26" s="21">
        <f>IF(Peserta_Didik!C27&lt;&gt;"",Peserta_Didik!B27,"")</f>
        <v>25</v>
      </c>
    </row>
    <row r="27" spans="1:7" x14ac:dyDescent="0.25">
      <c r="G27" s="21">
        <f>IF(Peserta_Didik!C28&lt;&gt;"",Peserta_Didik!B28,"")</f>
        <v>26</v>
      </c>
    </row>
    <row r="28" spans="1:7" x14ac:dyDescent="0.25">
      <c r="G28" s="21">
        <f>IF(Peserta_Didik!C29&lt;&gt;"",Peserta_Didik!B29,"")</f>
        <v>27</v>
      </c>
    </row>
    <row r="29" spans="1:7" x14ac:dyDescent="0.25">
      <c r="G29" s="21">
        <f>IF(Peserta_Didik!C30&lt;&gt;"",Peserta_Didik!B30,"")</f>
        <v>28</v>
      </c>
    </row>
    <row r="30" spans="1:7" x14ac:dyDescent="0.25">
      <c r="G30" s="21">
        <f>IF(Peserta_Didik!C31&lt;&gt;"",Peserta_Didik!B31,"")</f>
        <v>29</v>
      </c>
    </row>
    <row r="31" spans="1:7" x14ac:dyDescent="0.25">
      <c r="G31" s="21">
        <f>IF(Peserta_Didik!C32&lt;&gt;"",Peserta_Didik!B32,"")</f>
        <v>30</v>
      </c>
    </row>
    <row r="32" spans="1:7" x14ac:dyDescent="0.25">
      <c r="G32" s="21">
        <f>IF(Peserta_Didik!C33&lt;&gt;"",Peserta_Didik!B33,"")</f>
        <v>31</v>
      </c>
    </row>
    <row r="33" spans="7:7" x14ac:dyDescent="0.25">
      <c r="G33" s="21">
        <f>IF(Peserta_Didik!C34&lt;&gt;"",Peserta_Didik!B34,"")</f>
        <v>32</v>
      </c>
    </row>
    <row r="34" spans="7:7" x14ac:dyDescent="0.25">
      <c r="G34" s="21">
        <f>IF(Peserta_Didik!C35&lt;&gt;"",Peserta_Didik!B35,"")</f>
        <v>33</v>
      </c>
    </row>
    <row r="35" spans="7:7" x14ac:dyDescent="0.25">
      <c r="G35" s="21">
        <f>IF(Peserta_Didik!C36&lt;&gt;"",Peserta_Didik!B36,"")</f>
        <v>34</v>
      </c>
    </row>
    <row r="36" spans="7:7" x14ac:dyDescent="0.25">
      <c r="G36" s="21">
        <f>IF(Peserta_Didik!C37&lt;&gt;"",Peserta_Didik!B37,"")</f>
        <v>35</v>
      </c>
    </row>
    <row r="37" spans="7:7" x14ac:dyDescent="0.25">
      <c r="G37" s="21">
        <f>IF(Peserta_Didik!C38&lt;&gt;"",Peserta_Didik!B38,"")</f>
        <v>36</v>
      </c>
    </row>
    <row r="38" spans="7:7" x14ac:dyDescent="0.25">
      <c r="G38" s="21">
        <f>IF(Peserta_Didik!C39&lt;&gt;"",Peserta_Didik!B39,"")</f>
        <v>37</v>
      </c>
    </row>
    <row r="39" spans="7:7" x14ac:dyDescent="0.25">
      <c r="G39" s="21">
        <f>IF(Peserta_Didik!C40&lt;&gt;"",Peserta_Didik!B40,"")</f>
        <v>38</v>
      </c>
    </row>
    <row r="40" spans="7:7" x14ac:dyDescent="0.25">
      <c r="G40" s="21" t="str">
        <f>IF(Peserta_Didik!C41&lt;&gt;"",Peserta_Didik!B41,"")</f>
        <v/>
      </c>
    </row>
    <row r="41" spans="7:7" x14ac:dyDescent="0.25">
      <c r="G41" s="21" t="str">
        <f>IF(Peserta_Didik!C42&lt;&gt;"",Peserta_Didik!B42,"")</f>
        <v/>
      </c>
    </row>
  </sheetData>
  <sheetProtection password="CA9C" sheet="1" objects="1" scenarios="1" selectLockedCells="1"/>
  <mergeCells count="10">
    <mergeCell ref="A18:B18"/>
    <mergeCell ref="A19:B19"/>
    <mergeCell ref="A3:B3"/>
    <mergeCell ref="A4:B4"/>
    <mergeCell ref="A5:B5"/>
    <mergeCell ref="A6:B6"/>
    <mergeCell ref="A7:B7"/>
    <mergeCell ref="A13:B13"/>
    <mergeCell ref="A15:B15"/>
    <mergeCell ref="A16:B16"/>
  </mergeCells>
  <dataValidations count="1">
    <dataValidation type="list" errorStyle="warning" allowBlank="1" showInputMessage="1" showErrorMessage="1" errorTitle="Peringatan" error="No. Absen tidak dikenal. _x000a_Silahkan klik tombol No untuk menghentikan proses dan membetulkan masukan No. Absen." sqref="E2">
      <formula1>$G$2:$G$41</formula1>
    </dataValidation>
  </dataValidations>
  <pageMargins left="0.9055118110236221" right="0.43307086614173229" top="0.94488188976377963" bottom="1.1417322834645669" header="0.31496062992125984" footer="0.31496062992125984"/>
  <pageSetup paperSize="5" orientation="portrait" horizontalDpi="4294967293" verticalDpi="0" r:id="rId1"/>
  <drawing r:id="rId2"/>
  <legacyDrawing r:id="rId3"/>
  <controls>
    <mc:AlternateContent xmlns:mc="http://schemas.openxmlformats.org/markup-compatibility/2006">
      <mc:Choice Requires="x14">
        <control shapeId="3073" r:id="rId4" name="CommandButton1">
          <controlPr defaultSize="0" autoFill="0" autoLine="0" r:id="rId5">
            <anchor moveWithCells="1">
              <from>
                <xdr:col>3</xdr:col>
                <xdr:colOff>95250</xdr:colOff>
                <xdr:row>2</xdr:row>
                <xdr:rowOff>219075</xdr:rowOff>
              </from>
              <to>
                <xdr:col>4</xdr:col>
                <xdr:colOff>333375</xdr:colOff>
                <xdr:row>2</xdr:row>
                <xdr:rowOff>647700</xdr:rowOff>
              </to>
            </anchor>
          </controlPr>
        </control>
      </mc:Choice>
      <mc:Fallback>
        <control shapeId="3073" r:id="rId4" name="CommandButton1"/>
      </mc:Fallback>
    </mc:AlternateContent>
    <mc:AlternateContent xmlns:mc="http://schemas.openxmlformats.org/markup-compatibility/2006">
      <mc:Choice Requires="x14">
        <control shapeId="3077" r:id="rId6" name="CommandButton2">
          <controlPr defaultSize="0" autoLine="0" r:id="rId7">
            <anchor moveWithCells="1">
              <from>
                <xdr:col>3</xdr:col>
                <xdr:colOff>114300</xdr:colOff>
                <xdr:row>2</xdr:row>
                <xdr:rowOff>752475</xdr:rowOff>
              </from>
              <to>
                <xdr:col>4</xdr:col>
                <xdr:colOff>323850</xdr:colOff>
                <xdr:row>2</xdr:row>
                <xdr:rowOff>1200150</xdr:rowOff>
              </to>
            </anchor>
          </controlPr>
        </control>
      </mc:Choice>
      <mc:Fallback>
        <control shapeId="3077" r:id="rId6" name="Command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0000"/>
  </sheetPr>
  <dimension ref="A1:G17"/>
  <sheetViews>
    <sheetView showGridLines="0" showRowColHeaders="0" zoomScale="82" zoomScaleNormal="82" zoomScaleSheetLayoutView="100" workbookViewId="0">
      <selection sqref="A1:F1"/>
    </sheetView>
  </sheetViews>
  <sheetFormatPr defaultRowHeight="15" x14ac:dyDescent="0.25"/>
  <cols>
    <col min="1" max="1" width="21.42578125" customWidth="1"/>
    <col min="2" max="2" width="1.85546875" customWidth="1"/>
    <col min="3" max="3" width="13.42578125" customWidth="1"/>
    <col min="4" max="4" width="10.5703125" customWidth="1"/>
    <col min="5" max="5" width="12.28515625" customWidth="1"/>
    <col min="6" max="6" width="22.42578125" customWidth="1"/>
    <col min="7" max="7" width="6.140625" customWidth="1"/>
  </cols>
  <sheetData>
    <row r="1" spans="1:7" ht="87" customHeight="1" x14ac:dyDescent="0.25">
      <c r="A1" s="450" t="s">
        <v>9</v>
      </c>
      <c r="B1" s="450"/>
      <c r="C1" s="450"/>
      <c r="D1" s="450"/>
      <c r="E1" s="450"/>
      <c r="F1" s="450"/>
    </row>
    <row r="3" spans="1:7" ht="7.5" customHeight="1" x14ac:dyDescent="0.25"/>
    <row r="4" spans="1:7" ht="41.25" customHeight="1" x14ac:dyDescent="0.3">
      <c r="A4" s="1" t="s">
        <v>0</v>
      </c>
      <c r="B4" t="s">
        <v>10</v>
      </c>
      <c r="C4" s="2" t="str">
        <f>Informasi_Rapot!C3</f>
        <v>SMK NEGERI 2 BALEENDAH</v>
      </c>
      <c r="D4" s="3"/>
      <c r="E4" s="3"/>
      <c r="F4" s="3"/>
      <c r="G4" s="2"/>
    </row>
    <row r="5" spans="1:7" ht="41.25" customHeight="1" x14ac:dyDescent="0.3">
      <c r="A5" s="1" t="s">
        <v>1</v>
      </c>
      <c r="B5" t="s">
        <v>10</v>
      </c>
      <c r="C5" s="256" t="str">
        <f>Informasi_Rapot!C4</f>
        <v>20206226</v>
      </c>
      <c r="D5" s="3"/>
      <c r="E5" s="3"/>
      <c r="F5" s="3"/>
      <c r="G5" s="2"/>
    </row>
    <row r="6" spans="1:7" ht="41.25" customHeight="1" x14ac:dyDescent="0.3">
      <c r="A6" s="1" t="s">
        <v>2</v>
      </c>
      <c r="B6" t="s">
        <v>10</v>
      </c>
      <c r="C6" s="2" t="str">
        <f>Informasi_Rapot!C6</f>
        <v>Jalan RAA Wiranata Kusumah No. 11</v>
      </c>
      <c r="D6" s="3"/>
      <c r="E6" s="3"/>
      <c r="F6" s="3"/>
      <c r="G6" s="2"/>
    </row>
    <row r="7" spans="1:7" ht="41.25" customHeight="1" x14ac:dyDescent="0.25">
      <c r="C7" s="2" t="s">
        <v>11</v>
      </c>
      <c r="D7" s="258">
        <f>Informasi_Rapot!C7</f>
        <v>40375</v>
      </c>
      <c r="G7" s="2"/>
    </row>
    <row r="8" spans="1:7" ht="41.25" customHeight="1" x14ac:dyDescent="0.25">
      <c r="C8" s="2" t="s">
        <v>12</v>
      </c>
      <c r="D8" s="258" t="str">
        <f>Informasi_Rapot!C8</f>
        <v>022-5940714</v>
      </c>
      <c r="E8" s="2"/>
      <c r="F8" s="258"/>
      <c r="G8" s="2"/>
    </row>
    <row r="9" spans="1:7" ht="41.25" customHeight="1" x14ac:dyDescent="0.3">
      <c r="A9" s="1" t="s">
        <v>3</v>
      </c>
      <c r="B9" t="s">
        <v>10</v>
      </c>
      <c r="C9" s="2" t="str">
        <f>Informasi_Rapot!C9</f>
        <v>Baleendah</v>
      </c>
      <c r="D9" s="3"/>
      <c r="E9" s="3"/>
      <c r="F9" s="3"/>
      <c r="G9" s="2"/>
    </row>
    <row r="10" spans="1:7" ht="41.25" customHeight="1" x14ac:dyDescent="0.3">
      <c r="A10" s="1" t="s">
        <v>4</v>
      </c>
      <c r="B10" t="s">
        <v>10</v>
      </c>
      <c r="C10" s="2" t="str">
        <f>Informasi_Rapot!C10</f>
        <v>Baleendah</v>
      </c>
      <c r="D10" s="3"/>
      <c r="E10" s="3"/>
      <c r="F10" s="3"/>
      <c r="G10" s="2"/>
    </row>
    <row r="11" spans="1:7" ht="41.25" customHeight="1" x14ac:dyDescent="0.3">
      <c r="A11" s="1" t="s">
        <v>5</v>
      </c>
      <c r="B11" t="s">
        <v>10</v>
      </c>
      <c r="C11" s="2" t="str">
        <f>Informasi_Rapot!C11</f>
        <v>Kab. Bandung</v>
      </c>
      <c r="D11" s="3"/>
      <c r="E11" s="3"/>
      <c r="F11" s="3"/>
      <c r="G11" s="2"/>
    </row>
    <row r="12" spans="1:7" ht="41.25" customHeight="1" x14ac:dyDescent="0.3">
      <c r="A12" s="1" t="s">
        <v>6</v>
      </c>
      <c r="B12" t="s">
        <v>10</v>
      </c>
      <c r="C12" s="2" t="str">
        <f>Informasi_Rapot!C12</f>
        <v>Jawa Barat</v>
      </c>
      <c r="D12" s="3"/>
      <c r="E12" s="3"/>
      <c r="F12" s="3"/>
      <c r="G12" s="2"/>
    </row>
    <row r="13" spans="1:7" ht="41.25" customHeight="1" x14ac:dyDescent="0.3">
      <c r="A13" s="1" t="s">
        <v>7</v>
      </c>
      <c r="B13" t="s">
        <v>10</v>
      </c>
      <c r="C13" s="2" t="str">
        <f>Informasi_Rapot!C13</f>
        <v>www.smkn2baleendah.sch.id</v>
      </c>
      <c r="D13" s="3"/>
      <c r="E13" s="3"/>
      <c r="F13" s="3"/>
      <c r="G13" s="2"/>
    </row>
    <row r="14" spans="1:7" ht="41.25" customHeight="1" x14ac:dyDescent="0.3">
      <c r="A14" s="1" t="s">
        <v>8</v>
      </c>
      <c r="B14" t="s">
        <v>10</v>
      </c>
      <c r="C14" s="257" t="str">
        <f>Informasi_Rapot!C14</f>
        <v>smkn2baleendah@yahoo.co.id</v>
      </c>
      <c r="D14" s="3"/>
      <c r="E14" s="3"/>
      <c r="F14" s="3"/>
      <c r="G14" s="2"/>
    </row>
    <row r="17" spans="1:1" x14ac:dyDescent="0.25">
      <c r="A17" s="136"/>
    </row>
  </sheetData>
  <sheetProtection selectLockedCells="1"/>
  <mergeCells count="1">
    <mergeCell ref="A1:F1"/>
  </mergeCells>
  <hyperlinks>
    <hyperlink ref="C14" r:id="rId1" display="smkn1seyegan@gmail.com"/>
  </hyperlinks>
  <pageMargins left="1.1811023622047245" right="0.26" top="1.1811023622047245" bottom="0.74803149606299213" header="0.31496062992125984" footer="0.31496062992125984"/>
  <pageSetup paperSize="9" orientation="portrait" horizontalDpi="4294967293" verticalDpi="4294967293" r:id="rId2"/>
  <drawing r:id="rId3"/>
  <legacyDrawing r:id="rId4"/>
  <controls>
    <mc:AlternateContent xmlns:mc="http://schemas.openxmlformats.org/markup-compatibility/2006">
      <mc:Choice Requires="x14">
        <control shapeId="5122" r:id="rId5" name="CommandButton1">
          <controlPr defaultSize="0" autoFill="0" autoLine="0" r:id="rId6">
            <anchor moveWithCells="1">
              <from>
                <xdr:col>6</xdr:col>
                <xdr:colOff>400050</xdr:colOff>
                <xdr:row>0</xdr:row>
                <xdr:rowOff>390525</xdr:rowOff>
              </from>
              <to>
                <xdr:col>9</xdr:col>
                <xdr:colOff>85725</xdr:colOff>
                <xdr:row>0</xdr:row>
                <xdr:rowOff>819150</xdr:rowOff>
              </to>
            </anchor>
          </controlPr>
        </control>
      </mc:Choice>
      <mc:Fallback>
        <control shapeId="5122" r:id="rId5" name="CommandButton1"/>
      </mc:Fallback>
    </mc:AlternateContent>
    <mc:AlternateContent xmlns:mc="http://schemas.openxmlformats.org/markup-compatibility/2006">
      <mc:Choice Requires="x14">
        <control shapeId="5123" r:id="rId7" name="CommandButton2">
          <controlPr defaultSize="0" autoLine="0" r:id="rId8">
            <anchor moveWithCells="1">
              <from>
                <xdr:col>7</xdr:col>
                <xdr:colOff>0</xdr:colOff>
                <xdr:row>0</xdr:row>
                <xdr:rowOff>923925</xdr:rowOff>
              </from>
              <to>
                <xdr:col>9</xdr:col>
                <xdr:colOff>66675</xdr:colOff>
                <xdr:row>2</xdr:row>
                <xdr:rowOff>76200</xdr:rowOff>
              </to>
            </anchor>
          </controlPr>
        </control>
      </mc:Choice>
      <mc:Fallback>
        <control shapeId="5123" r:id="rId7" name="Command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0000"/>
  </sheetPr>
  <dimension ref="A1:U89"/>
  <sheetViews>
    <sheetView showGridLines="0" showRowColHeaders="0" topLeftCell="A27" zoomScale="70" zoomScaleNormal="70" zoomScaleSheetLayoutView="110" workbookViewId="0">
      <selection activeCell="H2" sqref="H2"/>
    </sheetView>
  </sheetViews>
  <sheetFormatPr defaultRowHeight="15" x14ac:dyDescent="0.25"/>
  <cols>
    <col min="1" max="1" width="3.85546875" style="14" customWidth="1"/>
    <col min="2" max="2" width="32.140625" style="15" customWidth="1"/>
    <col min="3" max="3" width="2.5703125" style="15" customWidth="1"/>
    <col min="4" max="4" width="5.42578125" customWidth="1"/>
    <col min="5" max="5" width="38.5703125" customWidth="1"/>
    <col min="7" max="7" width="16.140625" customWidth="1"/>
    <col min="8" max="8" width="12" customWidth="1"/>
    <col min="9" max="9" width="4" customWidth="1"/>
    <col min="10" max="10" width="9.140625" style="21"/>
  </cols>
  <sheetData>
    <row r="1" spans="1:21" x14ac:dyDescent="0.25">
      <c r="I1" s="285"/>
      <c r="J1" s="285"/>
      <c r="K1" s="285"/>
      <c r="L1" s="285"/>
      <c r="M1" s="285"/>
      <c r="N1" s="285"/>
      <c r="O1" s="285"/>
      <c r="P1" s="285"/>
      <c r="Q1" s="285"/>
      <c r="R1" s="285"/>
      <c r="S1" s="285"/>
      <c r="T1" s="285"/>
      <c r="U1" s="285"/>
    </row>
    <row r="2" spans="1:21" ht="18.75" x14ac:dyDescent="0.3">
      <c r="A2" s="451" t="s">
        <v>48</v>
      </c>
      <c r="B2" s="451"/>
      <c r="C2" s="451"/>
      <c r="D2" s="451"/>
      <c r="E2" s="451"/>
      <c r="F2" s="12"/>
      <c r="G2" s="45" t="s">
        <v>177</v>
      </c>
      <c r="H2" s="226">
        <v>33</v>
      </c>
      <c r="I2" s="285"/>
      <c r="J2" s="285"/>
      <c r="K2" s="285"/>
      <c r="L2" s="285"/>
      <c r="M2" s="285"/>
      <c r="N2" s="285"/>
      <c r="O2" s="285"/>
      <c r="P2" s="285"/>
      <c r="Q2" s="285"/>
      <c r="R2" s="285"/>
      <c r="S2" s="285"/>
      <c r="T2" s="285"/>
      <c r="U2" s="285"/>
    </row>
    <row r="3" spans="1:21" ht="31.5" customHeight="1" x14ac:dyDescent="0.25">
      <c r="I3" s="285"/>
      <c r="J3" s="285"/>
      <c r="K3" s="285"/>
      <c r="L3" s="285"/>
      <c r="M3" s="285"/>
      <c r="N3" s="285"/>
      <c r="O3" s="285"/>
      <c r="P3" s="285"/>
      <c r="Q3" s="285"/>
      <c r="R3" s="285"/>
      <c r="S3" s="285"/>
      <c r="T3" s="285"/>
      <c r="U3" s="285"/>
    </row>
    <row r="4" spans="1:21" ht="18" customHeight="1" x14ac:dyDescent="0.25">
      <c r="A4" s="18" t="s">
        <v>49</v>
      </c>
      <c r="B4" s="16" t="s">
        <v>15</v>
      </c>
      <c r="C4" s="16" t="s">
        <v>10</v>
      </c>
      <c r="D4" s="452" t="str">
        <f>IF(VLOOKUP($H$2,Peserta_Didik!$B$2:$AC$42,2,0)&lt;&gt;"",VLOOKUP($H$2,Peserta_Didik!$B$2:$AC$42,2,0),"")</f>
        <v>Silmi Farhah Fauziah</v>
      </c>
      <c r="E4" s="452"/>
      <c r="F4" s="13"/>
      <c r="I4" s="285"/>
      <c r="J4" s="285"/>
      <c r="K4" s="285"/>
      <c r="L4" s="285"/>
      <c r="M4" s="285"/>
      <c r="N4" s="285"/>
      <c r="O4" s="285"/>
      <c r="P4" s="285"/>
      <c r="Q4" s="285"/>
      <c r="R4" s="285"/>
      <c r="S4" s="285"/>
      <c r="T4" s="285"/>
      <c r="U4" s="285"/>
    </row>
    <row r="5" spans="1:21" ht="18" customHeight="1" x14ac:dyDescent="0.25">
      <c r="A5" s="18" t="s">
        <v>50</v>
      </c>
      <c r="B5" s="16" t="s">
        <v>271</v>
      </c>
      <c r="C5" s="16" t="s">
        <v>10</v>
      </c>
      <c r="D5" s="452" t="str">
        <f>IF(VLOOKUP($H$2,Peserta_Didik!$B$2:$AC$42,3,0)&lt;&gt;"",VLOOKUP($H$2,Peserta_Didik!$B$2:$AC$42,3,0),"")</f>
        <v>1314.10.139</v>
      </c>
      <c r="E5" s="452"/>
      <c r="F5" s="13"/>
      <c r="I5" s="285"/>
      <c r="J5" s="285"/>
      <c r="K5" s="285"/>
      <c r="L5" s="285"/>
      <c r="M5" s="285"/>
      <c r="N5" s="285"/>
      <c r="O5" s="285"/>
      <c r="P5" s="285"/>
      <c r="Q5" s="285"/>
      <c r="R5" s="285"/>
      <c r="S5" s="285"/>
      <c r="T5" s="285"/>
      <c r="U5" s="285"/>
    </row>
    <row r="6" spans="1:21" ht="18" customHeight="1" x14ac:dyDescent="0.25">
      <c r="A6" s="18"/>
      <c r="B6" s="16" t="s">
        <v>51</v>
      </c>
      <c r="C6" s="16" t="s">
        <v>10</v>
      </c>
      <c r="D6" s="452">
        <f>IF(VLOOKUP($H$2,Peserta_Didik!$B$2:$AC$42,4,0)&lt;&gt;"",VLOOKUP($H$2,Peserta_Didik!$B$2:$AC$42,4,0),"")</f>
        <v>9988551114</v>
      </c>
      <c r="E6" s="452"/>
      <c r="F6" s="13"/>
      <c r="I6" s="285"/>
      <c r="J6" s="285"/>
      <c r="K6" s="285"/>
      <c r="L6" s="285"/>
      <c r="M6" s="285"/>
      <c r="N6" s="285"/>
      <c r="O6" s="285"/>
      <c r="P6" s="285"/>
      <c r="Q6" s="285"/>
      <c r="R6" s="285"/>
      <c r="S6" s="285"/>
      <c r="T6" s="285"/>
      <c r="U6" s="285"/>
    </row>
    <row r="7" spans="1:21" ht="18" customHeight="1" x14ac:dyDescent="0.25">
      <c r="A7" s="18" t="s">
        <v>52</v>
      </c>
      <c r="B7" s="16" t="s">
        <v>53</v>
      </c>
      <c r="C7" s="16" t="s">
        <v>10</v>
      </c>
      <c r="D7" s="452" t="str">
        <f>IF(VLOOKUP($H$2,Peserta_Didik!$B$2:$AC$42,6,0)&lt;&gt;"",VLOOKUP($H$2,Peserta_Didik!$B$2:$AC$42,6,0)&amp;", "&amp;VLOOKUP($H$2,Peserta_Didik!$B$2:$AC$42,7,0),"")</f>
        <v>Bandung, 36045</v>
      </c>
      <c r="E7" s="452"/>
      <c r="F7" s="13"/>
      <c r="I7" s="285"/>
      <c r="J7" s="285"/>
      <c r="K7" s="285"/>
      <c r="L7" s="285"/>
      <c r="M7" s="285"/>
      <c r="N7" s="285"/>
      <c r="O7" s="285"/>
      <c r="P7" s="285"/>
      <c r="Q7" s="285"/>
      <c r="R7" s="285"/>
      <c r="S7" s="285"/>
      <c r="T7" s="285"/>
      <c r="U7" s="285"/>
    </row>
    <row r="8" spans="1:21" ht="18" customHeight="1" x14ac:dyDescent="0.25">
      <c r="A8" s="18" t="s">
        <v>54</v>
      </c>
      <c r="B8" s="16" t="s">
        <v>55</v>
      </c>
      <c r="C8" s="16" t="s">
        <v>10</v>
      </c>
      <c r="D8" s="452" t="str">
        <f>IF(VLOOKUP($H$2,Peserta_Didik!$B$2:$AC$42,5,0)&lt;&gt;"",VLOOKUP($H$2,Peserta_Didik!$B$2:$AC$42,5,0),"")</f>
        <v>Perempuan</v>
      </c>
      <c r="E8" s="452"/>
      <c r="F8" s="13"/>
      <c r="I8" s="285"/>
      <c r="J8" s="285"/>
      <c r="K8" s="285"/>
      <c r="L8" s="285"/>
      <c r="M8" s="285"/>
      <c r="N8" s="285"/>
      <c r="O8" s="285"/>
      <c r="P8" s="285"/>
      <c r="Q8" s="285"/>
      <c r="R8" s="285"/>
      <c r="S8" s="285"/>
      <c r="T8" s="285"/>
      <c r="U8" s="285"/>
    </row>
    <row r="9" spans="1:21" ht="18" customHeight="1" x14ac:dyDescent="0.25">
      <c r="A9" s="18" t="s">
        <v>56</v>
      </c>
      <c r="B9" s="16" t="s">
        <v>57</v>
      </c>
      <c r="C9" s="16" t="s">
        <v>10</v>
      </c>
      <c r="D9" s="452" t="str">
        <f>IF(VLOOKUP($H$2,Peserta_Didik!$B$2:$AC$42,8,0)&lt;&gt;"",VLOOKUP($H$2,Peserta_Didik!$B$2:$AC$42,8,0),"")</f>
        <v>Islam</v>
      </c>
      <c r="E9" s="452"/>
      <c r="F9" s="13"/>
      <c r="I9" s="285"/>
      <c r="J9" s="285"/>
      <c r="K9" s="285"/>
      <c r="L9" s="285"/>
      <c r="M9" s="285"/>
      <c r="N9" s="285"/>
      <c r="O9" s="285"/>
      <c r="P9" s="285"/>
      <c r="Q9" s="285"/>
      <c r="R9" s="285"/>
      <c r="S9" s="285"/>
      <c r="T9" s="285"/>
      <c r="U9" s="285"/>
    </row>
    <row r="10" spans="1:21" ht="18" customHeight="1" x14ac:dyDescent="0.25">
      <c r="A10" s="18" t="s">
        <v>58</v>
      </c>
      <c r="B10" s="16" t="s">
        <v>59</v>
      </c>
      <c r="C10" s="16" t="s">
        <v>10</v>
      </c>
      <c r="D10" s="452" t="str">
        <f>IF(VLOOKUP($H$2,Peserta_Didik!$B$2:$AC$42,17,0)&lt;&gt;"",VLOOKUP($H$2,Peserta_Didik!$B$2:$AC$42,17,0),"")</f>
        <v>Anak kandung</v>
      </c>
      <c r="E10" s="452"/>
      <c r="F10" s="13"/>
      <c r="I10" s="285"/>
      <c r="J10" s="285"/>
      <c r="K10" s="285"/>
      <c r="L10" s="285"/>
      <c r="M10" s="285"/>
      <c r="N10" s="285"/>
      <c r="O10" s="285"/>
      <c r="P10" s="285"/>
      <c r="Q10" s="285"/>
      <c r="R10" s="285"/>
      <c r="S10" s="285"/>
      <c r="T10" s="285"/>
      <c r="U10" s="285"/>
    </row>
    <row r="11" spans="1:21" ht="18" customHeight="1" x14ac:dyDescent="0.25">
      <c r="A11" s="18" t="s">
        <v>60</v>
      </c>
      <c r="B11" s="16" t="s">
        <v>61</v>
      </c>
      <c r="C11" s="16" t="s">
        <v>10</v>
      </c>
      <c r="D11" s="452">
        <f>IF(VLOOKUP($H$2,Peserta_Didik!$B$2:$AC$42,18,0)&lt;&gt;"",VLOOKUP($H$2,Peserta_Didik!$B$2:$AC$42,18,0),"")</f>
        <v>2</v>
      </c>
      <c r="E11" s="452"/>
      <c r="F11" s="13"/>
      <c r="I11" s="285"/>
      <c r="J11" s="285"/>
      <c r="K11" s="285"/>
      <c r="L11" s="285"/>
      <c r="M11" s="285"/>
      <c r="N11" s="285"/>
      <c r="O11" s="285"/>
      <c r="P11" s="286"/>
      <c r="Q11" s="285"/>
      <c r="R11" s="285"/>
      <c r="S11" s="285"/>
      <c r="T11" s="285"/>
      <c r="U11" s="285"/>
    </row>
    <row r="12" spans="1:21" ht="18" customHeight="1" x14ac:dyDescent="0.25">
      <c r="A12" s="18" t="s">
        <v>62</v>
      </c>
      <c r="B12" s="16" t="s">
        <v>63</v>
      </c>
      <c r="C12" s="16" t="s">
        <v>10</v>
      </c>
      <c r="D12" s="452" t="str">
        <f>IF(VLOOKUP($H$2,Peserta_Didik!$B$2:$AC$42,9,0)&lt;&gt;"",VLOOKUP($H$2,Peserta_Didik!$B$2:$AC$42,9,0),"")</f>
        <v>kp.Cintaasih Rt 03/02 Banjaran</v>
      </c>
      <c r="E12" s="452"/>
      <c r="F12" s="13"/>
      <c r="I12" s="285"/>
      <c r="J12" s="285"/>
      <c r="K12" s="285"/>
      <c r="L12" s="285"/>
      <c r="M12" s="285"/>
      <c r="N12" s="285"/>
      <c r="O12" s="285"/>
      <c r="P12" s="285"/>
      <c r="Q12" s="285"/>
      <c r="R12" s="285"/>
      <c r="S12" s="285"/>
      <c r="T12" s="285"/>
      <c r="U12" s="285"/>
    </row>
    <row r="13" spans="1:21" ht="18" customHeight="1" x14ac:dyDescent="0.25">
      <c r="A13" s="18"/>
      <c r="B13" s="16"/>
      <c r="C13" s="16"/>
      <c r="D13" s="452"/>
      <c r="E13" s="452"/>
      <c r="F13" s="13"/>
      <c r="I13" s="285"/>
      <c r="J13" s="285"/>
      <c r="K13" s="285"/>
      <c r="L13" s="285"/>
      <c r="M13" s="285"/>
      <c r="N13" s="285"/>
      <c r="O13" s="285"/>
      <c r="P13" s="285"/>
      <c r="Q13" s="285"/>
      <c r="R13" s="285"/>
      <c r="S13" s="285"/>
      <c r="T13" s="285"/>
      <c r="U13" s="285"/>
    </row>
    <row r="14" spans="1:21" ht="18" customHeight="1" x14ac:dyDescent="0.25">
      <c r="A14" s="18" t="s">
        <v>64</v>
      </c>
      <c r="B14" s="16" t="s">
        <v>65</v>
      </c>
      <c r="C14" s="16" t="s">
        <v>10</v>
      </c>
      <c r="D14" s="452" t="str">
        <f>IF(VLOOKUP($H$2,Peserta_Didik!$B$2:$AC$42,10,0)&lt;&gt;"",VLOOKUP($H$2,Peserta_Didik!$B$2:$AC$42,10,0),"")</f>
        <v>08984843202</v>
      </c>
      <c r="E14" s="452"/>
      <c r="F14" s="13"/>
      <c r="I14" s="285"/>
      <c r="J14" s="285"/>
      <c r="K14" s="285"/>
      <c r="L14" s="285"/>
      <c r="M14" s="285"/>
      <c r="N14" s="285"/>
      <c r="O14" s="285"/>
      <c r="P14" s="285"/>
      <c r="Q14" s="285"/>
      <c r="R14" s="285"/>
      <c r="S14" s="285"/>
      <c r="T14" s="285"/>
      <c r="U14" s="285"/>
    </row>
    <row r="15" spans="1:21" ht="18" customHeight="1" x14ac:dyDescent="0.25">
      <c r="A15" s="18" t="s">
        <v>66</v>
      </c>
      <c r="B15" s="16" t="s">
        <v>67</v>
      </c>
      <c r="C15" s="16" t="s">
        <v>10</v>
      </c>
      <c r="D15" s="452" t="str">
        <f>IF(VLOOKUP($H$2,Peserta_Didik!$B$2:$AC$42,11,0)&lt;&gt;"",VLOOKUP($H$2,Peserta_Didik!$B$2:$AC$42,11,0),"")</f>
        <v>SMPn 1 banjaran</v>
      </c>
      <c r="E15" s="452"/>
      <c r="F15" s="13"/>
      <c r="I15" s="285"/>
      <c r="J15" s="285"/>
      <c r="K15" s="285"/>
      <c r="L15" s="285"/>
      <c r="M15" s="285"/>
      <c r="N15" s="285"/>
      <c r="O15" s="285"/>
      <c r="P15" s="285"/>
      <c r="Q15" s="285"/>
      <c r="R15" s="285"/>
      <c r="S15" s="285"/>
      <c r="T15" s="285"/>
      <c r="U15" s="285"/>
    </row>
    <row r="16" spans="1:21" ht="18" customHeight="1" x14ac:dyDescent="0.25">
      <c r="A16" s="18" t="s">
        <v>68</v>
      </c>
      <c r="B16" s="16" t="s">
        <v>69</v>
      </c>
      <c r="C16" s="16"/>
      <c r="D16" s="452"/>
      <c r="E16" s="452"/>
      <c r="F16" s="13"/>
      <c r="I16" s="285"/>
      <c r="J16" s="285"/>
      <c r="K16" s="285"/>
      <c r="L16" s="285"/>
      <c r="M16" s="285"/>
      <c r="N16" s="285"/>
      <c r="O16" s="285"/>
      <c r="P16" s="285"/>
      <c r="Q16" s="285"/>
      <c r="R16" s="285"/>
      <c r="S16" s="285"/>
      <c r="T16" s="285"/>
      <c r="U16" s="285"/>
    </row>
    <row r="17" spans="1:21" ht="18" customHeight="1" x14ac:dyDescent="0.25">
      <c r="A17" s="18"/>
      <c r="B17" s="16" t="s">
        <v>70</v>
      </c>
      <c r="C17" s="16" t="s">
        <v>10</v>
      </c>
      <c r="D17" s="452" t="str">
        <f>IF(VLOOKUP($H$2,Peserta_Didik!$B$2:$AC$42,15,0)&lt;&gt;"",VLOOKUP($H$2,Peserta_Didik!$B$2:$AC$42,15,0),"")</f>
        <v>X TKJ 2</v>
      </c>
      <c r="E17" s="452"/>
      <c r="F17" s="13"/>
      <c r="I17" s="285"/>
      <c r="J17" s="285"/>
      <c r="K17" s="285"/>
      <c r="L17" s="285"/>
      <c r="M17" s="285"/>
      <c r="N17" s="285"/>
      <c r="O17" s="285"/>
      <c r="P17" s="285"/>
      <c r="Q17" s="285"/>
      <c r="R17" s="285"/>
      <c r="S17" s="285"/>
      <c r="T17" s="285"/>
      <c r="U17" s="285"/>
    </row>
    <row r="18" spans="1:21" ht="18" customHeight="1" x14ac:dyDescent="0.25">
      <c r="A18" s="18" t="s">
        <v>71</v>
      </c>
      <c r="B18" s="16" t="s">
        <v>72</v>
      </c>
      <c r="C18" s="16" t="s">
        <v>10</v>
      </c>
      <c r="D18" s="452" t="str">
        <f>IF(VLOOKUP($H$2,Peserta_Didik!$B$2:$AC$42,16,0)&lt;&gt;"",VLOOKUP($H$2,Peserta_Didik!$B$2:$AC$42,16,0),"")</f>
        <v>1 juli 2013</v>
      </c>
      <c r="E18" s="452"/>
      <c r="F18" s="13"/>
      <c r="I18" s="285"/>
      <c r="J18" s="285"/>
      <c r="K18" s="285"/>
      <c r="L18" s="285"/>
      <c r="M18" s="285"/>
      <c r="N18" s="285"/>
      <c r="O18" s="285"/>
      <c r="P18" s="285"/>
      <c r="Q18" s="285"/>
      <c r="R18" s="285"/>
      <c r="S18" s="285"/>
      <c r="T18" s="285"/>
      <c r="U18" s="285"/>
    </row>
    <row r="19" spans="1:21" ht="18" customHeight="1" x14ac:dyDescent="0.25">
      <c r="A19" s="18" t="s">
        <v>73</v>
      </c>
      <c r="B19" s="16" t="s">
        <v>74</v>
      </c>
      <c r="C19" s="16"/>
      <c r="D19" s="452"/>
      <c r="E19" s="452"/>
      <c r="F19" s="13"/>
      <c r="I19" s="285"/>
      <c r="J19" s="285"/>
      <c r="K19" s="285"/>
      <c r="L19" s="285"/>
      <c r="M19" s="285"/>
      <c r="N19" s="285"/>
      <c r="O19" s="285"/>
      <c r="P19" s="285"/>
      <c r="Q19" s="285"/>
      <c r="R19" s="285"/>
      <c r="S19" s="285"/>
      <c r="T19" s="285"/>
      <c r="U19" s="285"/>
    </row>
    <row r="20" spans="1:21" ht="18" customHeight="1" x14ac:dyDescent="0.25">
      <c r="A20" s="18"/>
      <c r="B20" s="16" t="s">
        <v>86</v>
      </c>
      <c r="C20" s="16" t="s">
        <v>10</v>
      </c>
      <c r="D20" s="452" t="str">
        <f>IF(VLOOKUP($H$2,Peserta_Didik!$B$2:$AC$42,19,0)&lt;&gt;"",VLOOKUP($H$2,Peserta_Didik!$B$2:$AC$42,19,0),"")</f>
        <v>Tatang Rohendi</v>
      </c>
      <c r="E20" s="452"/>
      <c r="F20" s="13"/>
      <c r="I20" s="285"/>
      <c r="J20" s="285"/>
      <c r="K20" s="285"/>
      <c r="L20" s="285"/>
      <c r="M20" s="285"/>
      <c r="N20" s="285"/>
      <c r="O20" s="285"/>
      <c r="P20" s="285"/>
      <c r="Q20" s="285"/>
      <c r="R20" s="285"/>
      <c r="S20" s="285"/>
      <c r="T20" s="285"/>
      <c r="U20" s="285"/>
    </row>
    <row r="21" spans="1:21" ht="18" customHeight="1" x14ac:dyDescent="0.25">
      <c r="A21" s="18"/>
      <c r="B21" s="16" t="s">
        <v>87</v>
      </c>
      <c r="C21" s="16" t="s">
        <v>10</v>
      </c>
      <c r="D21" s="452" t="str">
        <f>IF(VLOOKUP($H$2,Peserta_Didik!$B$2:$AC$42,20,0)&lt;&gt;"",VLOOKUP($H$2,Peserta_Didik!$B$2:$AC$42,20,0),"")</f>
        <v>Ida Maliah</v>
      </c>
      <c r="E21" s="452"/>
      <c r="F21" s="13"/>
      <c r="I21" s="285"/>
      <c r="J21" s="285"/>
      <c r="K21" s="285"/>
      <c r="L21" s="285"/>
      <c r="M21" s="285"/>
      <c r="N21" s="285"/>
      <c r="O21" s="285"/>
      <c r="P21" s="285"/>
      <c r="Q21" s="285"/>
      <c r="R21" s="285"/>
      <c r="S21" s="285"/>
      <c r="T21" s="285"/>
      <c r="U21" s="285"/>
    </row>
    <row r="22" spans="1:21" ht="18" customHeight="1" x14ac:dyDescent="0.25">
      <c r="A22" s="18" t="s">
        <v>75</v>
      </c>
      <c r="B22" s="16" t="s">
        <v>76</v>
      </c>
      <c r="C22" s="16" t="s">
        <v>10</v>
      </c>
      <c r="D22" s="452" t="str">
        <f>IF(VLOOKUP($H$2,Peserta_Didik!$B$2:$AC$42,21,0)&lt;&gt;"",VLOOKUP($H$2,Peserta_Didik!$B$2:$AC$42,21,0),"")</f>
        <v>kp.Cintaasih Rt 03/02 Banjaran</v>
      </c>
      <c r="E22" s="452"/>
      <c r="F22" s="13"/>
      <c r="I22" s="285"/>
      <c r="J22" s="285"/>
      <c r="K22" s="285"/>
      <c r="L22" s="285"/>
      <c r="M22" s="285"/>
      <c r="N22" s="285"/>
      <c r="O22" s="285"/>
      <c r="P22" s="285"/>
      <c r="Q22" s="285"/>
      <c r="R22" s="285"/>
      <c r="S22" s="285"/>
      <c r="T22" s="285"/>
      <c r="U22" s="285"/>
    </row>
    <row r="23" spans="1:21" ht="18" customHeight="1" x14ac:dyDescent="0.25">
      <c r="A23" s="18"/>
      <c r="B23" s="16"/>
      <c r="C23" s="16"/>
      <c r="D23" s="452"/>
      <c r="E23" s="452"/>
      <c r="F23" s="13"/>
      <c r="I23" s="285"/>
      <c r="J23" s="285"/>
      <c r="K23" s="285"/>
      <c r="L23" s="285"/>
      <c r="M23" s="285"/>
      <c r="N23" s="285"/>
      <c r="O23" s="285"/>
      <c r="P23" s="285"/>
      <c r="Q23" s="285"/>
      <c r="R23" s="285"/>
      <c r="S23" s="285"/>
      <c r="T23" s="285"/>
      <c r="U23" s="285"/>
    </row>
    <row r="24" spans="1:21" ht="18" customHeight="1" x14ac:dyDescent="0.25">
      <c r="A24" s="18"/>
      <c r="B24" s="16" t="s">
        <v>65</v>
      </c>
      <c r="C24" s="16" t="s">
        <v>10</v>
      </c>
      <c r="D24" s="452">
        <f>IF(VLOOKUP($H$2,Peserta_Didik!$B$2:$AC$42,22,0)&lt;&gt;"",VLOOKUP($H$2,Peserta_Didik!$B$2:$AC$42,22,0),"")</f>
        <v>81220086443</v>
      </c>
      <c r="E24" s="452"/>
      <c r="F24" s="13"/>
      <c r="I24" s="285"/>
      <c r="J24" s="285"/>
      <c r="K24" s="285"/>
      <c r="L24" s="285"/>
      <c r="M24" s="285"/>
      <c r="N24" s="285"/>
      <c r="O24" s="285"/>
      <c r="P24" s="285"/>
      <c r="Q24" s="285"/>
      <c r="R24" s="285"/>
      <c r="S24" s="285"/>
      <c r="T24" s="285"/>
      <c r="U24" s="285"/>
    </row>
    <row r="25" spans="1:21" ht="18" customHeight="1" x14ac:dyDescent="0.25">
      <c r="A25" s="18" t="s">
        <v>77</v>
      </c>
      <c r="B25" s="16" t="s">
        <v>78</v>
      </c>
      <c r="C25" s="16"/>
      <c r="D25" s="452"/>
      <c r="E25" s="452"/>
      <c r="F25" s="13"/>
      <c r="I25" s="285"/>
      <c r="J25" s="285"/>
      <c r="K25" s="285"/>
      <c r="L25" s="285"/>
      <c r="M25" s="285"/>
      <c r="N25" s="285"/>
      <c r="O25" s="285"/>
      <c r="P25" s="285"/>
      <c r="Q25" s="285"/>
      <c r="R25" s="285"/>
      <c r="S25" s="285"/>
      <c r="T25" s="285"/>
      <c r="U25" s="285"/>
    </row>
    <row r="26" spans="1:21" ht="18" customHeight="1" x14ac:dyDescent="0.25">
      <c r="A26" s="18"/>
      <c r="B26" s="16" t="s">
        <v>86</v>
      </c>
      <c r="C26" s="16" t="s">
        <v>10</v>
      </c>
      <c r="D26" s="452" t="str">
        <f>IF(VLOOKUP($H$2,Peserta_Didik!$B$2:$AC$42,23,0)&lt;&gt;"",VLOOKUP($H$2,Peserta_Didik!$B$2:$AC$42,23,0),"")</f>
        <v>Buru Lepas</v>
      </c>
      <c r="E26" s="452"/>
      <c r="F26" s="13"/>
      <c r="I26" s="285"/>
      <c r="J26" s="285"/>
      <c r="K26" s="285"/>
      <c r="L26" s="285"/>
      <c r="M26" s="285"/>
      <c r="N26" s="285"/>
      <c r="O26" s="285"/>
      <c r="P26" s="285"/>
      <c r="Q26" s="285"/>
      <c r="R26" s="285"/>
      <c r="S26" s="285"/>
      <c r="T26" s="285"/>
      <c r="U26" s="285"/>
    </row>
    <row r="27" spans="1:21" ht="18" customHeight="1" x14ac:dyDescent="0.25">
      <c r="A27" s="18"/>
      <c r="B27" s="16" t="s">
        <v>87</v>
      </c>
      <c r="C27" s="16" t="s">
        <v>10</v>
      </c>
      <c r="D27" s="452" t="str">
        <f>IF(VLOOKUP($H$2,Peserta_Didik!$B$2:$AC$42,24,0)&lt;&gt;"",VLOOKUP($H$2,Peserta_Didik!$B$2:$AC$42,24,0),"")</f>
        <v>ibu rumah tangga</v>
      </c>
      <c r="E27" s="452"/>
      <c r="F27" s="13"/>
      <c r="I27" s="285"/>
      <c r="J27" s="285"/>
      <c r="K27" s="285"/>
      <c r="L27" s="285"/>
      <c r="M27" s="285"/>
      <c r="N27" s="285"/>
      <c r="O27" s="285"/>
      <c r="P27" s="285"/>
      <c r="Q27" s="285"/>
      <c r="R27" s="285"/>
      <c r="S27" s="285"/>
      <c r="T27" s="285"/>
      <c r="U27" s="285"/>
    </row>
    <row r="28" spans="1:21" ht="18" customHeight="1" x14ac:dyDescent="0.25">
      <c r="A28" s="18" t="s">
        <v>79</v>
      </c>
      <c r="B28" s="16" t="s">
        <v>80</v>
      </c>
      <c r="C28" s="16" t="s">
        <v>10</v>
      </c>
      <c r="D28" s="452" t="str">
        <f>IF(VLOOKUP($H$2,Peserta_Didik!$B$2:$AC$42,25,0)&lt;&gt;"",VLOOKUP($H$2,Peserta_Didik!$B$2:$AC$42,25,0),"")</f>
        <v/>
      </c>
      <c r="E28" s="452"/>
      <c r="F28" s="13"/>
      <c r="I28" s="285"/>
      <c r="J28" s="285"/>
      <c r="K28" s="285"/>
      <c r="L28" s="285"/>
      <c r="M28" s="285"/>
      <c r="N28" s="285"/>
      <c r="O28" s="285"/>
      <c r="P28" s="285"/>
      <c r="Q28" s="285"/>
      <c r="R28" s="285"/>
      <c r="S28" s="285"/>
      <c r="T28" s="285"/>
      <c r="U28" s="285"/>
    </row>
    <row r="29" spans="1:21" ht="18" customHeight="1" x14ac:dyDescent="0.25">
      <c r="A29" s="18" t="s">
        <v>81</v>
      </c>
      <c r="B29" s="16" t="s">
        <v>82</v>
      </c>
      <c r="C29" s="16" t="s">
        <v>10</v>
      </c>
      <c r="D29" s="452" t="str">
        <f>IF(VLOOKUP($H$2,Peserta_Didik!$B$2:$AC$42,26,0)&lt;&gt;"",VLOOKUP($H$2,Peserta_Didik!$B$2:$AC$42,26,0),"")</f>
        <v/>
      </c>
      <c r="E29" s="452"/>
      <c r="F29" s="13"/>
      <c r="I29" s="285"/>
      <c r="J29" s="285"/>
      <c r="K29" s="285"/>
      <c r="L29" s="285"/>
      <c r="M29" s="285"/>
      <c r="N29" s="285"/>
      <c r="O29" s="285"/>
      <c r="P29" s="285"/>
      <c r="Q29" s="285"/>
      <c r="R29" s="285"/>
      <c r="S29" s="285"/>
      <c r="T29" s="285"/>
      <c r="U29" s="285"/>
    </row>
    <row r="30" spans="1:21" ht="18" customHeight="1" x14ac:dyDescent="0.25">
      <c r="A30" s="18" t="s">
        <v>83</v>
      </c>
      <c r="B30" s="16"/>
      <c r="C30" s="16"/>
      <c r="D30" s="452"/>
      <c r="E30" s="452"/>
      <c r="F30" s="13"/>
      <c r="I30" s="285"/>
      <c r="J30" s="285"/>
      <c r="K30" s="285"/>
      <c r="L30" s="285"/>
      <c r="M30" s="285"/>
      <c r="N30" s="285"/>
      <c r="O30" s="285"/>
      <c r="P30" s="285"/>
      <c r="Q30" s="285"/>
      <c r="R30" s="285"/>
      <c r="S30" s="285"/>
      <c r="T30" s="285"/>
      <c r="U30" s="285"/>
    </row>
    <row r="31" spans="1:21" ht="18" customHeight="1" x14ac:dyDescent="0.25">
      <c r="A31" s="18"/>
      <c r="B31" s="17" t="s">
        <v>65</v>
      </c>
      <c r="C31" s="16" t="s">
        <v>10</v>
      </c>
      <c r="D31" s="452" t="str">
        <f>IF(VLOOKUP($H$2,Peserta_Didik!$B$2:$AC$42,27,0)&lt;&gt;"",VLOOKUP($H$2,Peserta_Didik!$B$2:$AC$42,27,0),"")</f>
        <v/>
      </c>
      <c r="E31" s="452"/>
      <c r="F31" s="13"/>
      <c r="I31" s="285"/>
      <c r="J31" s="285"/>
      <c r="K31" s="285"/>
      <c r="L31" s="285"/>
      <c r="M31" s="285"/>
      <c r="N31" s="285"/>
      <c r="O31" s="285"/>
      <c r="P31" s="285"/>
      <c r="Q31" s="285"/>
      <c r="R31" s="285"/>
      <c r="S31" s="285"/>
      <c r="T31" s="285"/>
      <c r="U31" s="285"/>
    </row>
    <row r="32" spans="1:21" ht="18" customHeight="1" x14ac:dyDescent="0.25">
      <c r="A32" s="18" t="s">
        <v>84</v>
      </c>
      <c r="B32" s="16" t="s">
        <v>85</v>
      </c>
      <c r="C32" s="16" t="s">
        <v>10</v>
      </c>
      <c r="D32" s="452" t="str">
        <f>IF(VLOOKUP($H$2,Peserta_Didik!$B$2:$AC$42,28,0)&lt;&gt;"",VLOOKUP($H$2,Peserta_Didik!$B$2:$AC$42,28,0),"")</f>
        <v/>
      </c>
      <c r="E32" s="452"/>
      <c r="F32" s="13"/>
      <c r="I32" s="285"/>
      <c r="J32" s="285"/>
      <c r="K32" s="285"/>
      <c r="L32" s="285"/>
      <c r="M32" s="285"/>
      <c r="N32" s="285"/>
      <c r="O32" s="285"/>
      <c r="P32" s="285"/>
      <c r="Q32" s="285"/>
      <c r="R32" s="285"/>
      <c r="S32" s="285"/>
      <c r="T32" s="285"/>
      <c r="U32" s="285"/>
    </row>
    <row r="33" spans="1:21" ht="18" customHeight="1" x14ac:dyDescent="0.25">
      <c r="A33" s="18"/>
      <c r="B33" s="16"/>
      <c r="C33" s="16"/>
      <c r="D33" s="19"/>
      <c r="E33" s="19"/>
      <c r="F33" s="13"/>
      <c r="I33" s="285"/>
      <c r="J33" s="285"/>
      <c r="K33" s="285"/>
      <c r="L33" s="285"/>
      <c r="M33" s="285"/>
      <c r="N33" s="285"/>
      <c r="O33" s="285"/>
      <c r="P33" s="285"/>
      <c r="Q33" s="285"/>
      <c r="R33" s="285"/>
      <c r="S33" s="285"/>
      <c r="T33" s="285"/>
      <c r="U33" s="285"/>
    </row>
    <row r="34" spans="1:21" ht="18" customHeight="1" x14ac:dyDescent="0.25">
      <c r="A34" s="18"/>
      <c r="B34" s="16"/>
      <c r="C34" s="16"/>
      <c r="D34" s="19"/>
      <c r="E34" s="19"/>
      <c r="F34" s="13"/>
      <c r="I34" s="285"/>
      <c r="J34" s="285"/>
      <c r="K34" s="285"/>
      <c r="L34" s="285"/>
      <c r="M34" s="285"/>
      <c r="N34" s="285"/>
      <c r="O34" s="285"/>
      <c r="P34" s="285"/>
      <c r="Q34" s="285"/>
      <c r="R34" s="285"/>
      <c r="S34" s="285"/>
      <c r="T34" s="285"/>
      <c r="U34" s="285"/>
    </row>
    <row r="35" spans="1:21" x14ac:dyDescent="0.25">
      <c r="D35" s="4"/>
      <c r="E35" s="4" t="str">
        <f>Informasi_Rapot!C31</f>
        <v>Baleendah, 14 Juli 2014</v>
      </c>
      <c r="I35" s="285"/>
      <c r="J35" s="285"/>
      <c r="K35" s="285"/>
      <c r="L35" s="285"/>
      <c r="M35" s="285"/>
      <c r="N35" s="285"/>
      <c r="O35" s="285"/>
      <c r="P35" s="285"/>
      <c r="Q35" s="285"/>
      <c r="R35" s="285"/>
      <c r="S35" s="285"/>
      <c r="T35" s="285"/>
      <c r="U35" s="285"/>
    </row>
    <row r="36" spans="1:21" x14ac:dyDescent="0.25">
      <c r="D36" s="4"/>
      <c r="E36" s="11" t="s">
        <v>88</v>
      </c>
      <c r="I36" s="285"/>
      <c r="J36" s="285"/>
      <c r="K36" s="285"/>
      <c r="L36" s="285"/>
      <c r="M36" s="285"/>
      <c r="N36" s="285"/>
      <c r="O36" s="285"/>
      <c r="P36" s="285"/>
      <c r="Q36" s="285"/>
      <c r="R36" s="285"/>
      <c r="S36" s="285"/>
      <c r="T36" s="285"/>
      <c r="U36" s="285"/>
    </row>
    <row r="37" spans="1:21" x14ac:dyDescent="0.25">
      <c r="D37" s="4"/>
      <c r="E37" s="11"/>
      <c r="I37" s="285"/>
      <c r="J37" s="285"/>
      <c r="K37" s="285"/>
      <c r="L37" s="285"/>
      <c r="M37" s="285"/>
      <c r="N37" s="285"/>
      <c r="O37" s="285"/>
      <c r="P37" s="285"/>
      <c r="Q37" s="285"/>
      <c r="R37" s="285"/>
      <c r="S37" s="285"/>
      <c r="T37" s="285"/>
      <c r="U37" s="285"/>
    </row>
    <row r="38" spans="1:21" x14ac:dyDescent="0.25">
      <c r="D38" s="4"/>
      <c r="E38" s="11"/>
      <c r="I38" s="285"/>
      <c r="J38" s="285"/>
      <c r="K38" s="285"/>
      <c r="L38" s="285"/>
      <c r="M38" s="285"/>
      <c r="N38" s="285"/>
      <c r="O38" s="285"/>
      <c r="P38" s="285"/>
      <c r="Q38" s="285"/>
      <c r="R38" s="285"/>
      <c r="S38" s="285"/>
      <c r="T38" s="285"/>
      <c r="U38" s="285"/>
    </row>
    <row r="39" spans="1:21" x14ac:dyDescent="0.25">
      <c r="D39" s="4"/>
      <c r="E39" s="11"/>
      <c r="I39" s="285"/>
      <c r="J39" s="285"/>
      <c r="K39" s="285"/>
      <c r="L39" s="285"/>
      <c r="M39" s="285"/>
      <c r="N39" s="285"/>
      <c r="O39" s="285"/>
      <c r="P39" s="285"/>
      <c r="Q39" s="285"/>
      <c r="R39" s="285"/>
      <c r="S39" s="285"/>
      <c r="T39" s="285"/>
      <c r="U39" s="285"/>
    </row>
    <row r="40" spans="1:21" x14ac:dyDescent="0.25">
      <c r="D40" s="4"/>
      <c r="E40" s="11"/>
      <c r="I40" s="285"/>
      <c r="J40" s="285"/>
      <c r="K40" s="285"/>
      <c r="L40" s="285"/>
      <c r="M40" s="285"/>
      <c r="N40" s="285"/>
      <c r="O40" s="285"/>
      <c r="P40" s="285"/>
      <c r="Q40" s="285"/>
      <c r="R40" s="285"/>
      <c r="S40" s="285"/>
      <c r="T40" s="285"/>
      <c r="U40" s="285"/>
    </row>
    <row r="41" spans="1:21" x14ac:dyDescent="0.25">
      <c r="D41" s="4"/>
      <c r="E41" s="11" t="str">
        <f>Informasi_Rapot!C20</f>
        <v>Drs. H. Carma Rahmat, M.Pd</v>
      </c>
      <c r="I41" s="285"/>
      <c r="J41" s="285"/>
      <c r="K41" s="285"/>
      <c r="L41" s="285"/>
      <c r="M41" s="285"/>
      <c r="N41" s="285"/>
      <c r="O41" s="285"/>
      <c r="P41" s="285"/>
      <c r="Q41" s="285"/>
      <c r="R41" s="285"/>
      <c r="S41" s="285"/>
      <c r="T41" s="285"/>
      <c r="U41" s="285"/>
    </row>
    <row r="42" spans="1:21" x14ac:dyDescent="0.25">
      <c r="D42" s="4"/>
      <c r="E42" s="11" t="str">
        <f>"NIP "&amp;Informasi_Rapot!C21</f>
        <v>NIP 196108151986031010</v>
      </c>
      <c r="I42" s="285"/>
      <c r="J42" s="285"/>
      <c r="K42" s="285"/>
      <c r="L42" s="285"/>
      <c r="M42" s="285"/>
      <c r="N42" s="285"/>
      <c r="O42" s="285"/>
      <c r="P42" s="285"/>
      <c r="Q42" s="285"/>
      <c r="R42" s="285"/>
      <c r="S42" s="285"/>
      <c r="T42" s="285"/>
      <c r="U42" s="285"/>
    </row>
    <row r="43" spans="1:21" x14ac:dyDescent="0.25">
      <c r="D43" s="4"/>
      <c r="E43" s="4"/>
      <c r="I43" s="285"/>
      <c r="J43" s="285"/>
      <c r="K43" s="285"/>
      <c r="L43" s="285"/>
      <c r="M43" s="285"/>
      <c r="N43" s="285"/>
      <c r="O43" s="285"/>
      <c r="P43" s="285"/>
      <c r="Q43" s="285"/>
      <c r="R43" s="285"/>
      <c r="S43" s="285"/>
      <c r="T43" s="285"/>
      <c r="U43" s="285"/>
    </row>
    <row r="44" spans="1:21" x14ac:dyDescent="0.25">
      <c r="I44" s="285"/>
      <c r="J44" s="285"/>
      <c r="K44" s="285"/>
      <c r="L44" s="285"/>
      <c r="M44" s="285"/>
      <c r="N44" s="285"/>
      <c r="O44" s="285"/>
      <c r="P44" s="285"/>
      <c r="Q44" s="285"/>
      <c r="R44" s="285"/>
      <c r="S44" s="285"/>
      <c r="T44" s="285"/>
      <c r="U44" s="285"/>
    </row>
    <row r="45" spans="1:21" x14ac:dyDescent="0.25">
      <c r="I45" s="285"/>
      <c r="J45" s="285"/>
      <c r="K45" s="285"/>
      <c r="L45" s="285"/>
      <c r="M45" s="285"/>
      <c r="N45" s="285"/>
      <c r="O45" s="285"/>
      <c r="P45" s="285"/>
      <c r="Q45" s="285"/>
      <c r="R45" s="285"/>
      <c r="S45" s="285"/>
      <c r="T45" s="285"/>
      <c r="U45" s="285"/>
    </row>
    <row r="46" spans="1:21" x14ac:dyDescent="0.25">
      <c r="I46" s="285"/>
      <c r="J46" s="285"/>
      <c r="K46" s="285"/>
      <c r="L46" s="285"/>
      <c r="M46" s="285"/>
      <c r="N46" s="285"/>
      <c r="O46" s="285"/>
      <c r="P46" s="285"/>
      <c r="Q46" s="285"/>
      <c r="R46" s="285"/>
      <c r="S46" s="285"/>
      <c r="T46" s="285"/>
      <c r="U46" s="285"/>
    </row>
    <row r="47" spans="1:21" x14ac:dyDescent="0.25">
      <c r="I47" s="285"/>
      <c r="J47" s="285"/>
      <c r="K47" s="285"/>
      <c r="L47" s="285"/>
      <c r="M47" s="285"/>
      <c r="N47" s="285"/>
      <c r="O47" s="285"/>
      <c r="P47" s="285"/>
      <c r="Q47" s="285"/>
      <c r="R47" s="285"/>
      <c r="S47" s="285"/>
      <c r="T47" s="285"/>
      <c r="U47" s="285"/>
    </row>
    <row r="48" spans="1:21" x14ac:dyDescent="0.25">
      <c r="I48" s="285"/>
      <c r="J48" s="285"/>
      <c r="K48" s="285"/>
      <c r="L48" s="285"/>
      <c r="M48" s="285"/>
      <c r="N48" s="285"/>
      <c r="O48" s="285"/>
      <c r="P48" s="285"/>
      <c r="Q48" s="285"/>
      <c r="R48" s="285"/>
      <c r="S48" s="285"/>
      <c r="T48" s="285"/>
      <c r="U48" s="285"/>
    </row>
    <row r="49" spans="1:21" x14ac:dyDescent="0.25">
      <c r="I49" s="285"/>
      <c r="J49" s="285"/>
      <c r="K49" s="285"/>
      <c r="L49" s="285"/>
      <c r="M49" s="285"/>
      <c r="N49" s="285"/>
      <c r="O49" s="285"/>
      <c r="P49" s="285"/>
      <c r="Q49" s="285"/>
      <c r="R49" s="285"/>
      <c r="S49" s="285"/>
      <c r="T49" s="285"/>
      <c r="U49" s="285"/>
    </row>
    <row r="50" spans="1:21" x14ac:dyDescent="0.25">
      <c r="A50" s="280">
        <f>IF(Peserta_Didik!C3&lt;&gt;"",Peserta_Didik!B3,"")</f>
        <v>1</v>
      </c>
      <c r="I50" s="285"/>
      <c r="J50" s="285"/>
      <c r="K50" s="285"/>
      <c r="L50" s="285"/>
      <c r="M50" s="285"/>
      <c r="N50" s="285"/>
      <c r="O50" s="285"/>
      <c r="P50" s="285"/>
      <c r="Q50" s="285"/>
      <c r="R50" s="285"/>
      <c r="S50" s="285"/>
      <c r="T50" s="285"/>
      <c r="U50" s="285"/>
    </row>
    <row r="51" spans="1:21" x14ac:dyDescent="0.25">
      <c r="A51" s="280">
        <f>IF(Peserta_Didik!C4&lt;&gt;"",Peserta_Didik!B4,"")</f>
        <v>2</v>
      </c>
      <c r="I51" s="285"/>
      <c r="J51" s="285"/>
      <c r="K51" s="285"/>
      <c r="L51" s="285"/>
      <c r="M51" s="285"/>
      <c r="N51" s="285"/>
      <c r="O51" s="285"/>
      <c r="P51" s="285"/>
      <c r="Q51" s="285"/>
      <c r="R51" s="285"/>
      <c r="S51" s="285"/>
      <c r="T51" s="285"/>
      <c r="U51" s="285"/>
    </row>
    <row r="52" spans="1:21" x14ac:dyDescent="0.25">
      <c r="A52" s="280">
        <f>IF(Peserta_Didik!C5&lt;&gt;"",Peserta_Didik!B5,"")</f>
        <v>3</v>
      </c>
      <c r="I52" s="285"/>
      <c r="J52" s="285"/>
      <c r="K52" s="285"/>
      <c r="L52" s="285"/>
      <c r="M52" s="285"/>
      <c r="N52" s="285"/>
      <c r="O52" s="285"/>
      <c r="P52" s="285"/>
      <c r="Q52" s="285"/>
      <c r="R52" s="285"/>
      <c r="S52" s="285"/>
      <c r="T52" s="285"/>
      <c r="U52" s="285"/>
    </row>
    <row r="53" spans="1:21" x14ac:dyDescent="0.25">
      <c r="A53" s="280">
        <f>IF(Peserta_Didik!C6&lt;&gt;"",Peserta_Didik!B6,"")</f>
        <v>4</v>
      </c>
      <c r="I53" s="285"/>
      <c r="J53" s="285"/>
      <c r="K53" s="285"/>
      <c r="L53" s="285"/>
      <c r="M53" s="285"/>
      <c r="N53" s="285"/>
      <c r="O53" s="285"/>
      <c r="P53" s="285"/>
      <c r="Q53" s="285"/>
      <c r="R53" s="285"/>
      <c r="S53" s="285"/>
      <c r="T53" s="285"/>
      <c r="U53" s="285"/>
    </row>
    <row r="54" spans="1:21" x14ac:dyDescent="0.25">
      <c r="A54" s="280">
        <f>IF(Peserta_Didik!C7&lt;&gt;"",Peserta_Didik!B7,"")</f>
        <v>5</v>
      </c>
      <c r="I54" s="285"/>
      <c r="J54" s="285"/>
      <c r="K54" s="285"/>
      <c r="L54" s="285"/>
      <c r="M54" s="285"/>
      <c r="N54" s="285"/>
      <c r="O54" s="285"/>
      <c r="P54" s="285"/>
      <c r="Q54" s="285"/>
      <c r="R54" s="285"/>
      <c r="S54" s="285"/>
      <c r="T54" s="285"/>
      <c r="U54" s="285"/>
    </row>
    <row r="55" spans="1:21" x14ac:dyDescent="0.25">
      <c r="A55" s="280">
        <f>IF(Peserta_Didik!C8&lt;&gt;"",Peserta_Didik!B8,"")</f>
        <v>6</v>
      </c>
      <c r="I55" s="285"/>
      <c r="J55" s="285"/>
      <c r="K55" s="285"/>
      <c r="L55" s="285"/>
      <c r="M55" s="285"/>
      <c r="N55" s="285"/>
      <c r="O55" s="285"/>
      <c r="P55" s="285"/>
      <c r="Q55" s="285"/>
      <c r="R55" s="285"/>
      <c r="S55" s="285"/>
      <c r="T55" s="285"/>
      <c r="U55" s="285"/>
    </row>
    <row r="56" spans="1:21" x14ac:dyDescent="0.25">
      <c r="A56" s="280">
        <f>IF(Peserta_Didik!C9&lt;&gt;"",Peserta_Didik!B9,"")</f>
        <v>7</v>
      </c>
      <c r="I56" s="285"/>
      <c r="J56" s="285"/>
      <c r="K56" s="285"/>
      <c r="L56" s="285"/>
      <c r="M56" s="285"/>
      <c r="N56" s="285"/>
      <c r="O56" s="285"/>
      <c r="P56" s="285"/>
      <c r="Q56" s="285"/>
      <c r="R56" s="285"/>
      <c r="S56" s="285"/>
      <c r="T56" s="285"/>
      <c r="U56" s="285"/>
    </row>
    <row r="57" spans="1:21" x14ac:dyDescent="0.25">
      <c r="A57" s="280">
        <f>IF(Peserta_Didik!C10&lt;&gt;"",Peserta_Didik!B10,"")</f>
        <v>8</v>
      </c>
      <c r="I57" s="285"/>
      <c r="J57" s="285"/>
      <c r="K57" s="285"/>
      <c r="L57" s="285"/>
      <c r="M57" s="285"/>
      <c r="N57" s="285"/>
      <c r="O57" s="285"/>
      <c r="P57" s="285"/>
      <c r="Q57" s="285"/>
      <c r="R57" s="285"/>
      <c r="S57" s="285"/>
      <c r="T57" s="285"/>
      <c r="U57" s="285"/>
    </row>
    <row r="58" spans="1:21" x14ac:dyDescent="0.25">
      <c r="A58" s="280">
        <f>IF(Peserta_Didik!C11&lt;&gt;"",Peserta_Didik!B11,"")</f>
        <v>9</v>
      </c>
      <c r="I58" s="285"/>
      <c r="J58" s="285"/>
      <c r="K58" s="285"/>
      <c r="L58" s="285"/>
      <c r="M58" s="285"/>
      <c r="N58" s="285"/>
      <c r="O58" s="285"/>
      <c r="P58" s="285"/>
      <c r="Q58" s="285"/>
      <c r="R58" s="285"/>
      <c r="S58" s="285"/>
      <c r="T58" s="285"/>
      <c r="U58" s="285"/>
    </row>
    <row r="59" spans="1:21" x14ac:dyDescent="0.25">
      <c r="A59" s="280">
        <f>IF(Peserta_Didik!C12&lt;&gt;"",Peserta_Didik!B12,"")</f>
        <v>10</v>
      </c>
      <c r="I59" s="285"/>
      <c r="J59" s="285"/>
      <c r="K59" s="285"/>
      <c r="L59" s="285"/>
      <c r="M59" s="285"/>
      <c r="N59" s="285"/>
      <c r="O59" s="285"/>
      <c r="P59" s="285"/>
      <c r="Q59" s="285"/>
      <c r="R59" s="285"/>
      <c r="S59" s="285"/>
      <c r="T59" s="285"/>
      <c r="U59" s="285"/>
    </row>
    <row r="60" spans="1:21" x14ac:dyDescent="0.25">
      <c r="A60" s="280">
        <f>IF(Peserta_Didik!C13&lt;&gt;"",Peserta_Didik!B13,"")</f>
        <v>11</v>
      </c>
      <c r="I60" s="285"/>
      <c r="J60" s="285"/>
      <c r="K60" s="285"/>
      <c r="L60" s="285"/>
      <c r="M60" s="285"/>
      <c r="N60" s="285"/>
      <c r="O60" s="285"/>
      <c r="P60" s="285"/>
      <c r="Q60" s="285"/>
      <c r="R60" s="285"/>
      <c r="S60" s="285"/>
      <c r="T60" s="285"/>
      <c r="U60" s="285"/>
    </row>
    <row r="61" spans="1:21" x14ac:dyDescent="0.25">
      <c r="A61" s="280">
        <f>IF(Peserta_Didik!C14&lt;&gt;"",Peserta_Didik!B14,"")</f>
        <v>12</v>
      </c>
      <c r="I61" s="285"/>
      <c r="J61" s="285"/>
      <c r="K61" s="285"/>
      <c r="L61" s="285"/>
      <c r="M61" s="285"/>
      <c r="N61" s="285"/>
      <c r="O61" s="285"/>
      <c r="P61" s="285"/>
      <c r="Q61" s="285"/>
      <c r="R61" s="285"/>
      <c r="S61" s="285"/>
      <c r="T61" s="285"/>
      <c r="U61" s="285"/>
    </row>
    <row r="62" spans="1:21" x14ac:dyDescent="0.25">
      <c r="A62" s="280">
        <f>IF(Peserta_Didik!C15&lt;&gt;"",Peserta_Didik!B15,"")</f>
        <v>13</v>
      </c>
      <c r="I62" s="285"/>
      <c r="J62" s="285"/>
      <c r="K62" s="285"/>
      <c r="L62" s="285"/>
      <c r="M62" s="285"/>
      <c r="N62" s="285"/>
      <c r="O62" s="285"/>
      <c r="P62" s="285"/>
      <c r="Q62" s="285"/>
      <c r="R62" s="285"/>
      <c r="S62" s="285"/>
      <c r="T62" s="285"/>
      <c r="U62" s="285"/>
    </row>
    <row r="63" spans="1:21" x14ac:dyDescent="0.25">
      <c r="A63" s="280">
        <f>IF(Peserta_Didik!C16&lt;&gt;"",Peserta_Didik!B16,"")</f>
        <v>14</v>
      </c>
      <c r="I63" s="285"/>
      <c r="J63" s="285"/>
      <c r="K63" s="285"/>
      <c r="L63" s="285"/>
      <c r="M63" s="285"/>
      <c r="N63" s="285"/>
      <c r="O63" s="285"/>
      <c r="P63" s="285"/>
      <c r="Q63" s="285"/>
      <c r="R63" s="285"/>
      <c r="S63" s="285"/>
      <c r="T63" s="285"/>
      <c r="U63" s="285"/>
    </row>
    <row r="64" spans="1:21" x14ac:dyDescent="0.25">
      <c r="A64" s="280">
        <f>IF(Peserta_Didik!C17&lt;&gt;"",Peserta_Didik!B17,"")</f>
        <v>15</v>
      </c>
      <c r="I64" s="285"/>
      <c r="J64" s="285"/>
      <c r="K64" s="285"/>
      <c r="L64" s="285"/>
      <c r="M64" s="285"/>
      <c r="N64" s="285"/>
      <c r="O64" s="285"/>
      <c r="P64" s="285"/>
      <c r="Q64" s="285"/>
      <c r="R64" s="285"/>
      <c r="S64" s="285"/>
      <c r="T64" s="285"/>
      <c r="U64" s="285"/>
    </row>
    <row r="65" spans="1:21" x14ac:dyDescent="0.25">
      <c r="A65" s="280">
        <f>IF(Peserta_Didik!C18&lt;&gt;"",Peserta_Didik!B18,"")</f>
        <v>16</v>
      </c>
      <c r="I65" s="285"/>
      <c r="J65" s="285"/>
      <c r="K65" s="285"/>
      <c r="L65" s="285"/>
      <c r="M65" s="285"/>
      <c r="N65" s="285"/>
      <c r="O65" s="285"/>
      <c r="P65" s="285"/>
      <c r="Q65" s="285"/>
      <c r="R65" s="285"/>
      <c r="S65" s="285"/>
      <c r="T65" s="285"/>
      <c r="U65" s="285"/>
    </row>
    <row r="66" spans="1:21" x14ac:dyDescent="0.25">
      <c r="A66" s="280">
        <f>IF(Peserta_Didik!C19&lt;&gt;"",Peserta_Didik!B19,"")</f>
        <v>17</v>
      </c>
      <c r="I66" s="285"/>
      <c r="J66" s="285"/>
      <c r="K66" s="285"/>
      <c r="L66" s="285"/>
      <c r="M66" s="285"/>
      <c r="N66" s="285"/>
      <c r="O66" s="285"/>
      <c r="P66" s="285"/>
      <c r="Q66" s="285"/>
      <c r="R66" s="285"/>
      <c r="S66" s="285"/>
      <c r="T66" s="285"/>
      <c r="U66" s="285"/>
    </row>
    <row r="67" spans="1:21" x14ac:dyDescent="0.25">
      <c r="A67" s="280">
        <f>IF(Peserta_Didik!C20&lt;&gt;"",Peserta_Didik!B20,"")</f>
        <v>18</v>
      </c>
      <c r="I67" s="285"/>
      <c r="J67" s="285"/>
      <c r="K67" s="285"/>
      <c r="L67" s="285"/>
      <c r="M67" s="285"/>
      <c r="N67" s="285"/>
      <c r="O67" s="285"/>
      <c r="P67" s="285"/>
      <c r="Q67" s="285"/>
      <c r="R67" s="285"/>
      <c r="S67" s="285"/>
      <c r="T67" s="285"/>
      <c r="U67" s="285"/>
    </row>
    <row r="68" spans="1:21" x14ac:dyDescent="0.25">
      <c r="A68" s="280">
        <f>IF(Peserta_Didik!C21&lt;&gt;"",Peserta_Didik!B21,"")</f>
        <v>19</v>
      </c>
    </row>
    <row r="69" spans="1:21" x14ac:dyDescent="0.25">
      <c r="A69" s="280">
        <f>IF(Peserta_Didik!C22&lt;&gt;"",Peserta_Didik!B22,"")</f>
        <v>20</v>
      </c>
    </row>
    <row r="70" spans="1:21" x14ac:dyDescent="0.25">
      <c r="A70" s="280">
        <f>IF(Peserta_Didik!C23&lt;&gt;"",Peserta_Didik!B23,"")</f>
        <v>21</v>
      </c>
    </row>
    <row r="71" spans="1:21" x14ac:dyDescent="0.25">
      <c r="A71" s="280">
        <f>IF(Peserta_Didik!C24&lt;&gt;"",Peserta_Didik!B24,"")</f>
        <v>22</v>
      </c>
    </row>
    <row r="72" spans="1:21" x14ac:dyDescent="0.25">
      <c r="A72" s="280">
        <f>IF(Peserta_Didik!C25&lt;&gt;"",Peserta_Didik!B25,"")</f>
        <v>23</v>
      </c>
    </row>
    <row r="73" spans="1:21" x14ac:dyDescent="0.25">
      <c r="A73" s="280">
        <f>IF(Peserta_Didik!C26&lt;&gt;"",Peserta_Didik!B26,"")</f>
        <v>24</v>
      </c>
    </row>
    <row r="74" spans="1:21" x14ac:dyDescent="0.25">
      <c r="A74" s="280">
        <f>IF(Peserta_Didik!C27&lt;&gt;"",Peserta_Didik!B27,"")</f>
        <v>25</v>
      </c>
    </row>
    <row r="75" spans="1:21" x14ac:dyDescent="0.25">
      <c r="A75" s="280">
        <f>IF(Peserta_Didik!C28&lt;&gt;"",Peserta_Didik!B28,"")</f>
        <v>26</v>
      </c>
    </row>
    <row r="76" spans="1:21" x14ac:dyDescent="0.25">
      <c r="A76" s="280">
        <f>IF(Peserta_Didik!C29&lt;&gt;"",Peserta_Didik!B29,"")</f>
        <v>27</v>
      </c>
    </row>
    <row r="77" spans="1:21" x14ac:dyDescent="0.25">
      <c r="A77" s="280">
        <f>IF(Peserta_Didik!C30&lt;&gt;"",Peserta_Didik!B30,"")</f>
        <v>28</v>
      </c>
    </row>
    <row r="78" spans="1:21" x14ac:dyDescent="0.25">
      <c r="A78" s="280">
        <f>IF(Peserta_Didik!C31&lt;&gt;"",Peserta_Didik!B31,"")</f>
        <v>29</v>
      </c>
    </row>
    <row r="79" spans="1:21" x14ac:dyDescent="0.25">
      <c r="A79" s="280">
        <f>IF(Peserta_Didik!C32&lt;&gt;"",Peserta_Didik!B32,"")</f>
        <v>30</v>
      </c>
    </row>
    <row r="80" spans="1:21" x14ac:dyDescent="0.25">
      <c r="A80" s="280">
        <f>IF(Peserta_Didik!C33&lt;&gt;"",Peserta_Didik!B33,"")</f>
        <v>31</v>
      </c>
    </row>
    <row r="81" spans="1:1" x14ac:dyDescent="0.25">
      <c r="A81" s="280">
        <f>IF(Peserta_Didik!C34&lt;&gt;"",Peserta_Didik!B34,"")</f>
        <v>32</v>
      </c>
    </row>
    <row r="82" spans="1:1" x14ac:dyDescent="0.25">
      <c r="A82" s="280">
        <f>IF(Peserta_Didik!C35&lt;&gt;"",Peserta_Didik!B35,"")</f>
        <v>33</v>
      </c>
    </row>
    <row r="83" spans="1:1" x14ac:dyDescent="0.25">
      <c r="A83" s="280">
        <f>IF(Peserta_Didik!C36&lt;&gt;"",Peserta_Didik!B36,"")</f>
        <v>34</v>
      </c>
    </row>
    <row r="84" spans="1:1" x14ac:dyDescent="0.25">
      <c r="A84" s="280">
        <f>IF(Peserta_Didik!C37&lt;&gt;"",Peserta_Didik!B37,"")</f>
        <v>35</v>
      </c>
    </row>
    <row r="85" spans="1:1" x14ac:dyDescent="0.25">
      <c r="A85" s="280">
        <f>IF(Peserta_Didik!C38&lt;&gt;"",Peserta_Didik!B38,"")</f>
        <v>36</v>
      </c>
    </row>
    <row r="86" spans="1:1" x14ac:dyDescent="0.25">
      <c r="A86" s="280">
        <f>IF(Peserta_Didik!C39&lt;&gt;"",Peserta_Didik!B39,"")</f>
        <v>37</v>
      </c>
    </row>
    <row r="87" spans="1:1" x14ac:dyDescent="0.25">
      <c r="A87" s="280">
        <f>IF(Peserta_Didik!C40&lt;&gt;"",Peserta_Didik!B40,"")</f>
        <v>38</v>
      </c>
    </row>
    <row r="88" spans="1:1" x14ac:dyDescent="0.25">
      <c r="A88" s="280" t="str">
        <f>IF(Peserta_Didik!C41&lt;&gt;"",Peserta_Didik!B41,"")</f>
        <v/>
      </c>
    </row>
    <row r="89" spans="1:1" x14ac:dyDescent="0.25">
      <c r="A89" s="280" t="str">
        <f>IF(Peserta_Didik!C42&lt;&gt;"",Peserta_Didik!B42,"")</f>
        <v/>
      </c>
    </row>
  </sheetData>
  <sheetProtection password="CA9C" sheet="1" objects="1" scenarios="1" selectLockedCells="1"/>
  <dataConsolidate/>
  <mergeCells count="27">
    <mergeCell ref="D6:E6"/>
    <mergeCell ref="D32:E32"/>
    <mergeCell ref="D31:E31"/>
    <mergeCell ref="D16:E16"/>
    <mergeCell ref="D15:E15"/>
    <mergeCell ref="D14:E14"/>
    <mergeCell ref="D28:E28"/>
    <mergeCell ref="D27:E27"/>
    <mergeCell ref="D26:E26"/>
    <mergeCell ref="D25:E25"/>
    <mergeCell ref="D24:E24"/>
    <mergeCell ref="A2:E2"/>
    <mergeCell ref="D12:E13"/>
    <mergeCell ref="D22:E23"/>
    <mergeCell ref="D29:E30"/>
    <mergeCell ref="D11:E11"/>
    <mergeCell ref="D10:E10"/>
    <mergeCell ref="D9:E9"/>
    <mergeCell ref="D8:E8"/>
    <mergeCell ref="D7:E7"/>
    <mergeCell ref="D5:E5"/>
    <mergeCell ref="D4:E4"/>
    <mergeCell ref="D21:E21"/>
    <mergeCell ref="D20:E20"/>
    <mergeCell ref="D19:E19"/>
    <mergeCell ref="D18:E18"/>
    <mergeCell ref="D17:E17"/>
  </mergeCells>
  <dataValidations count="1">
    <dataValidation type="list" errorStyle="warning" allowBlank="1" showInputMessage="1" showErrorMessage="1" errorTitle="Peringatan" error="No. Absen tidak dikenal. _x000a_Silahkan klik tombol No untuk menghentikan proses dan membetulkan masukan No. Absen." sqref="H2">
      <formula1>$A$50:$A$89</formula1>
    </dataValidation>
  </dataValidations>
  <pageMargins left="0.99" right="0.7" top="0.75" bottom="0.75" header="0.3" footer="0.3"/>
  <pageSetup paperSize="9" orientation="portrait" horizontalDpi="4294967293" verticalDpi="0" r:id="rId1"/>
  <drawing r:id="rId2"/>
  <legacyDrawing r:id="rId3"/>
  <controls>
    <mc:AlternateContent xmlns:mc="http://schemas.openxmlformats.org/markup-compatibility/2006">
      <mc:Choice Requires="x14">
        <control shapeId="6145" r:id="rId4" name="CommandButton1">
          <controlPr defaultSize="0" autoFill="0" autoLine="0" r:id="rId5">
            <anchor moveWithCells="1">
              <from>
                <xdr:col>6</xdr:col>
                <xdr:colOff>9525</xdr:colOff>
                <xdr:row>2</xdr:row>
                <xdr:rowOff>171450</xdr:rowOff>
              </from>
              <to>
                <xdr:col>7</xdr:col>
                <xdr:colOff>247650</xdr:colOff>
                <xdr:row>3</xdr:row>
                <xdr:rowOff>200025</xdr:rowOff>
              </to>
            </anchor>
          </controlPr>
        </control>
      </mc:Choice>
      <mc:Fallback>
        <control shapeId="6145" r:id="rId4" name="CommandButton1"/>
      </mc:Fallback>
    </mc:AlternateContent>
    <mc:AlternateContent xmlns:mc="http://schemas.openxmlformats.org/markup-compatibility/2006">
      <mc:Choice Requires="x14">
        <control shapeId="6146" r:id="rId6" name="CommandButton2">
          <controlPr defaultSize="0" autoLine="0" r:id="rId7">
            <anchor moveWithCells="1">
              <from>
                <xdr:col>6</xdr:col>
                <xdr:colOff>0</xdr:colOff>
                <xdr:row>4</xdr:row>
                <xdr:rowOff>76200</xdr:rowOff>
              </from>
              <to>
                <xdr:col>7</xdr:col>
                <xdr:colOff>209550</xdr:colOff>
                <xdr:row>6</xdr:row>
                <xdr:rowOff>66675</xdr:rowOff>
              </to>
            </anchor>
          </controlPr>
        </control>
      </mc:Choice>
      <mc:Fallback>
        <control shapeId="6146" r:id="rId6" name="Command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0000"/>
  </sheetPr>
  <dimension ref="A1:S104"/>
  <sheetViews>
    <sheetView showGridLines="0" showRowColHeaders="0" view="pageBreakPreview" topLeftCell="A48" zoomScale="85" zoomScaleNormal="90" zoomScaleSheetLayoutView="85" workbookViewId="0">
      <selection activeCell="F60" sqref="F60"/>
    </sheetView>
  </sheetViews>
  <sheetFormatPr defaultRowHeight="15" x14ac:dyDescent="0.25"/>
  <cols>
    <col min="1" max="1" width="3.42578125" customWidth="1"/>
    <col min="2" max="2" width="5.140625" style="28" customWidth="1"/>
    <col min="3" max="3" width="18" style="26" customWidth="1"/>
    <col min="4" max="4" width="12.85546875" style="26" customWidth="1"/>
    <col min="5" max="5" width="7.7109375" customWidth="1"/>
    <col min="6" max="6" width="8.7109375" customWidth="1"/>
    <col min="7" max="7" width="7.7109375" customWidth="1"/>
    <col min="8" max="8" width="10.85546875" customWidth="1"/>
    <col min="9" max="9" width="10" customWidth="1"/>
    <col min="10" max="10" width="15.5703125" customWidth="1"/>
    <col min="12" max="12" width="15" customWidth="1"/>
    <col min="15" max="15" width="9.140625" style="21"/>
  </cols>
  <sheetData>
    <row r="1" spans="2:17" x14ac:dyDescent="0.25">
      <c r="C1" s="306"/>
      <c r="D1" s="306"/>
    </row>
    <row r="2" spans="2:17" ht="15.75" x14ac:dyDescent="0.25">
      <c r="B2" s="504" t="s">
        <v>329</v>
      </c>
      <c r="C2" s="504"/>
      <c r="D2" s="504"/>
      <c r="E2" s="504"/>
      <c r="F2" s="504"/>
      <c r="G2" s="504"/>
      <c r="H2" s="504"/>
      <c r="I2" s="504"/>
      <c r="J2" s="504"/>
    </row>
    <row r="3" spans="2:17" ht="15.75" x14ac:dyDescent="0.25">
      <c r="B3" s="504" t="s">
        <v>330</v>
      </c>
      <c r="C3" s="504"/>
      <c r="D3" s="504"/>
      <c r="E3" s="504"/>
      <c r="F3" s="504"/>
      <c r="G3" s="504"/>
      <c r="H3" s="504"/>
      <c r="I3" s="504"/>
      <c r="J3" s="504"/>
    </row>
    <row r="4" spans="2:17" ht="22.5" x14ac:dyDescent="0.3">
      <c r="B4" s="505" t="s">
        <v>314</v>
      </c>
      <c r="C4" s="505"/>
      <c r="D4" s="505"/>
      <c r="E4" s="505"/>
      <c r="F4" s="505"/>
      <c r="G4" s="505"/>
      <c r="H4" s="505"/>
      <c r="I4" s="505"/>
      <c r="J4" s="505"/>
    </row>
    <row r="5" spans="2:17" x14ac:dyDescent="0.25">
      <c r="B5" s="506" t="s">
        <v>331</v>
      </c>
      <c r="C5" s="506"/>
      <c r="D5" s="506"/>
      <c r="E5" s="506"/>
      <c r="F5" s="506"/>
      <c r="G5" s="506"/>
      <c r="H5" s="506"/>
      <c r="I5" s="506"/>
      <c r="J5" s="506"/>
    </row>
    <row r="6" spans="2:17" x14ac:dyDescent="0.25">
      <c r="B6" s="506" t="s">
        <v>332</v>
      </c>
      <c r="C6" s="506"/>
      <c r="D6" s="506"/>
      <c r="E6" s="506"/>
      <c r="F6" s="506"/>
      <c r="G6" s="506"/>
      <c r="H6" s="506"/>
      <c r="I6" s="506"/>
      <c r="J6" s="506"/>
    </row>
    <row r="7" spans="2:17" ht="15.75" thickBot="1" x14ac:dyDescent="0.3">
      <c r="B7" s="503" t="s">
        <v>333</v>
      </c>
      <c r="C7" s="503"/>
      <c r="D7" s="503"/>
      <c r="E7" s="503"/>
      <c r="F7" s="503"/>
      <c r="G7" s="503"/>
      <c r="H7" s="503"/>
      <c r="I7" s="503"/>
      <c r="J7" s="503"/>
    </row>
    <row r="8" spans="2:17" ht="8.25" customHeight="1" thickTop="1" x14ac:dyDescent="0.25">
      <c r="B8" s="311"/>
      <c r="C8" s="311"/>
      <c r="D8" s="311"/>
      <c r="E8" s="311"/>
      <c r="F8" s="311"/>
      <c r="G8" s="311"/>
      <c r="H8" s="311"/>
      <c r="I8" s="311"/>
      <c r="J8" s="311"/>
    </row>
    <row r="9" spans="2:17" ht="18" x14ac:dyDescent="0.25">
      <c r="B9" s="453" t="s">
        <v>334</v>
      </c>
      <c r="C9" s="453"/>
      <c r="D9" s="453"/>
      <c r="E9" s="453"/>
      <c r="F9" s="453"/>
      <c r="G9" s="453"/>
      <c r="H9" s="453"/>
      <c r="I9" s="453"/>
      <c r="J9" s="453"/>
      <c r="K9" s="342"/>
      <c r="L9" s="342"/>
      <c r="M9" s="342"/>
      <c r="N9" s="342"/>
      <c r="O9" s="342"/>
      <c r="P9" s="342"/>
      <c r="Q9" s="342"/>
    </row>
    <row r="10" spans="2:17" x14ac:dyDescent="0.25">
      <c r="C10" s="53"/>
      <c r="D10" s="53"/>
    </row>
    <row r="11" spans="2:17" s="35" customFormat="1" ht="15" customHeight="1" x14ac:dyDescent="0.2">
      <c r="B11" s="32" t="s">
        <v>15</v>
      </c>
      <c r="C11" s="34"/>
      <c r="D11" s="485" t="str">
        <f>": "&amp;VLOOKUP(M15,Capaian1!B5:D44,3,0)</f>
        <v>: Andreas Rizki Rizaldi</v>
      </c>
      <c r="E11" s="485"/>
      <c r="F11" s="485"/>
      <c r="G11" s="35" t="s">
        <v>142</v>
      </c>
      <c r="I11" s="455" t="str">
        <f>": "&amp;VLOOKUP(M15,Capaian1!B5:D44,2,0)</f>
        <v>: 1314.10.109</v>
      </c>
      <c r="J11" s="455"/>
      <c r="O11" s="54"/>
    </row>
    <row r="12" spans="2:17" s="35" customFormat="1" ht="15" customHeight="1" x14ac:dyDescent="0.2">
      <c r="B12" s="32" t="s">
        <v>20</v>
      </c>
      <c r="C12" s="34"/>
      <c r="D12" s="43" t="str">
        <f>": "&amp;Informasi_Rapot!C16</f>
        <v>: Teknologi Informasi dan Komunikasi</v>
      </c>
      <c r="E12" s="43"/>
      <c r="O12" s="54"/>
    </row>
    <row r="13" spans="2:17" s="35" customFormat="1" ht="15" customHeight="1" x14ac:dyDescent="0.2">
      <c r="B13" s="35" t="s">
        <v>21</v>
      </c>
      <c r="C13" s="34"/>
      <c r="D13" s="43" t="str">
        <f>": "&amp;Informasi_Rapot!C17</f>
        <v>: Teknik Komputer dan Informatika</v>
      </c>
      <c r="E13" s="43"/>
      <c r="G13" s="35" t="s">
        <v>22</v>
      </c>
      <c r="I13" s="455" t="str">
        <f>": "&amp;Informasi_Rapot!C18</f>
        <v>: Teknik Komputer dan Jaringan</v>
      </c>
      <c r="J13" s="455"/>
      <c r="O13" s="54"/>
    </row>
    <row r="14" spans="2:17" s="35" customFormat="1" ht="15" customHeight="1" x14ac:dyDescent="0.2">
      <c r="B14" s="35" t="s">
        <v>100</v>
      </c>
      <c r="C14" s="34"/>
      <c r="D14" s="43" t="str">
        <f>": "&amp;Informasi_Rapot!C28</f>
        <v>: 2014/2015</v>
      </c>
      <c r="E14" s="43"/>
      <c r="G14" s="35" t="s">
        <v>143</v>
      </c>
      <c r="I14" s="455" t="str">
        <f>": "&amp;Informasi_Rapot!C26&amp;" / "&amp;Informasi_Rapot!C27</f>
        <v>: XI (sebelas) / 2 ( Dua )</v>
      </c>
      <c r="J14" s="455"/>
      <c r="O14" s="54"/>
    </row>
    <row r="15" spans="2:17" ht="15" customHeight="1" x14ac:dyDescent="0.3">
      <c r="B15" s="33"/>
      <c r="L15" s="45" t="s">
        <v>177</v>
      </c>
      <c r="M15" s="226">
        <v>3</v>
      </c>
      <c r="O15" s="21">
        <f>IF(Peserta_Didik!C3&lt;&gt;"",Peserta_Didik!B3,"")</f>
        <v>1</v>
      </c>
    </row>
    <row r="16" spans="2:17" ht="3.75" customHeight="1" x14ac:dyDescent="0.25">
      <c r="O16" s="21">
        <f>IF(Peserta_Didik!C4&lt;&gt;"",Peserta_Didik!B4,"")</f>
        <v>2</v>
      </c>
    </row>
    <row r="17" spans="2:19" ht="21.75" customHeight="1" x14ac:dyDescent="0.25">
      <c r="B17" s="466" t="s">
        <v>121</v>
      </c>
      <c r="C17" s="467"/>
      <c r="D17" s="468"/>
      <c r="E17" s="466" t="s">
        <v>122</v>
      </c>
      <c r="F17" s="468"/>
      <c r="G17" s="466" t="s">
        <v>124</v>
      </c>
      <c r="H17" s="468"/>
      <c r="I17" s="476" t="s">
        <v>136</v>
      </c>
      <c r="J17" s="476"/>
      <c r="O17" s="21">
        <f>IF(Peserta_Didik!C5&lt;&gt;"",Peserta_Didik!B5,"")</f>
        <v>3</v>
      </c>
    </row>
    <row r="18" spans="2:19" ht="20.25" customHeight="1" x14ac:dyDescent="0.25">
      <c r="B18" s="469"/>
      <c r="C18" s="470"/>
      <c r="D18" s="471"/>
      <c r="E18" s="469"/>
      <c r="F18" s="471"/>
      <c r="G18" s="469"/>
      <c r="H18" s="471"/>
      <c r="I18" s="475" t="s">
        <v>137</v>
      </c>
      <c r="J18" s="475"/>
      <c r="K18" s="22"/>
      <c r="O18" s="21">
        <f>IF(Peserta_Didik!C6&lt;&gt;"",Peserta_Didik!B6,"")</f>
        <v>4</v>
      </c>
      <c r="P18" s="35"/>
      <c r="Q18" s="35"/>
      <c r="R18" s="35"/>
      <c r="S18" s="35"/>
    </row>
    <row r="19" spans="2:19" ht="15" customHeight="1" x14ac:dyDescent="0.25">
      <c r="B19" s="469"/>
      <c r="C19" s="470"/>
      <c r="D19" s="471"/>
      <c r="E19" s="477" t="s">
        <v>123</v>
      </c>
      <c r="F19" s="478"/>
      <c r="G19" s="477" t="s">
        <v>125</v>
      </c>
      <c r="H19" s="478"/>
      <c r="I19" s="476" t="s">
        <v>303</v>
      </c>
      <c r="J19" s="465" t="s">
        <v>302</v>
      </c>
      <c r="K19" s="22"/>
      <c r="O19" s="21">
        <f>IF(Peserta_Didik!C7&lt;&gt;"",Peserta_Didik!B7,"")</f>
        <v>5</v>
      </c>
      <c r="P19" s="35"/>
      <c r="Q19" s="35"/>
      <c r="R19" s="35"/>
      <c r="S19" s="35"/>
    </row>
    <row r="20" spans="2:19" ht="25.5" customHeight="1" x14ac:dyDescent="0.25">
      <c r="B20" s="472"/>
      <c r="C20" s="473"/>
      <c r="D20" s="474"/>
      <c r="E20" s="261" t="s">
        <v>126</v>
      </c>
      <c r="F20" s="261" t="s">
        <v>127</v>
      </c>
      <c r="G20" s="261" t="s">
        <v>126</v>
      </c>
      <c r="H20" s="261" t="s">
        <v>127</v>
      </c>
      <c r="I20" s="475"/>
      <c r="J20" s="465"/>
      <c r="K20" s="22"/>
      <c r="O20" s="21">
        <f>IF(Peserta_Didik!C8&lt;&gt;"",Peserta_Didik!B8,"")</f>
        <v>6</v>
      </c>
    </row>
    <row r="21" spans="2:19" ht="18" customHeight="1" x14ac:dyDescent="0.25">
      <c r="B21" s="459" t="s">
        <v>139</v>
      </c>
      <c r="C21" s="459"/>
      <c r="D21" s="459"/>
      <c r="E21" s="459"/>
      <c r="F21" s="459"/>
      <c r="G21" s="459"/>
      <c r="H21" s="459"/>
      <c r="I21" s="459"/>
      <c r="J21" s="27"/>
      <c r="K21" s="22"/>
      <c r="O21" s="21">
        <f>IF(Peserta_Didik!C9&lt;&gt;"",Peserta_Didik!B9,"")</f>
        <v>7</v>
      </c>
    </row>
    <row r="22" spans="2:19" ht="27" customHeight="1" x14ac:dyDescent="0.25">
      <c r="B22" s="70">
        <v>1</v>
      </c>
      <c r="C22" s="460" t="str">
        <f>IF(Mata_Pelajaran!D4&lt;&gt;"",Mata_Pelajaran!D4,"")</f>
        <v>Pendidikan Agama dan Budi Pekerti</v>
      </c>
      <c r="D22" s="461"/>
      <c r="E22" s="269">
        <f>IF($C$22&lt;&gt;"",VLOOKUP($M$15,Capaian1!$B$5:$CT$44,4,0),"")</f>
        <v>3.2880000000000003</v>
      </c>
      <c r="F22" s="270" t="str">
        <f>IF(E22&lt;&gt;"",IF(E22&lt;=1.17,"D",IF(E22&lt;=1.5,"D+",IF(E22&lt;=1.84,"C-",IF(E22&lt;=2.17,"C",IF(E22&lt;=2.5,"C+",IF(E22&lt;=2.84,"B-",IF(E22&lt;=3.17,"B",IF(E22&lt;=3.5,"B+",IF(E22&lt;=3.84,"A-","A"))))))))),"")</f>
        <v>B+</v>
      </c>
      <c r="G22" s="269">
        <f>IF($C$22&lt;&gt;"",VLOOKUP($M$15,Capaian1!$B$5:$CT$44,5,0),"")</f>
        <v>3.44</v>
      </c>
      <c r="H22" s="349" t="str">
        <f>IF(G22&lt;&gt;"",IF(G22&lt;=1.17,"D",IF(G22&lt;=1.5,"D+",IF(G22&lt;=1.84,"C-",IF(G22&lt;=2.17,"C",IF(G22&lt;=2.5,"C+",IF(G22&lt;=2.84,"B-",IF(G22&lt;=3.17,"B",IF(G22&lt;=3.5,"B+",IF(G22&lt;=3.84,"A-","A"))))))))),"")</f>
        <v>B+</v>
      </c>
      <c r="I22" s="270" t="str">
        <f>IF($C$22&lt;&gt;"",VLOOKUP($M$15,Capaian1!$B$5:$CT$44,6,0),"")</f>
        <v>B</v>
      </c>
      <c r="J22" s="481" t="str">
        <f>VLOOKUP($M$15,Deskripsi1!$B$6:$CP$45,91,0)</f>
        <v>siswa sudah dapat mengikuti semua pelajaran dengan baik</v>
      </c>
      <c r="K22" s="23"/>
      <c r="O22" s="21">
        <f>IF(Peserta_Didik!C10&lt;&gt;"",Peserta_Didik!B10,"")</f>
        <v>8</v>
      </c>
    </row>
    <row r="23" spans="2:19" ht="27" customHeight="1" x14ac:dyDescent="0.25">
      <c r="B23" s="55"/>
      <c r="C23" s="479" t="str">
        <f>IF(C22&lt;&gt;"","Nama Guru : "&amp;Mata_Pelajaran!G4,"")</f>
        <v>Nama Guru : Suntama, S.Pd.I</v>
      </c>
      <c r="D23" s="480"/>
      <c r="E23" s="267"/>
      <c r="F23" s="268"/>
      <c r="G23" s="267"/>
      <c r="H23" s="268"/>
      <c r="I23" s="268"/>
      <c r="J23" s="481"/>
      <c r="K23" s="23"/>
    </row>
    <row r="24" spans="2:19" ht="27" customHeight="1" x14ac:dyDescent="0.25">
      <c r="B24" s="62">
        <v>2</v>
      </c>
      <c r="C24" s="462" t="str">
        <f>IF(Mata_Pelajaran!D5&lt;&gt;"",Mata_Pelajaran!D5,"")</f>
        <v>Pendidikan Pancasila dan Kewarganegaraan</v>
      </c>
      <c r="D24" s="463"/>
      <c r="E24" s="271">
        <f>IF($C$24&lt;&gt;"",VLOOKUP($M$15,Capaian1!$B$5:$CT$44,7,0),"")</f>
        <v>3.1439999999999997</v>
      </c>
      <c r="F24" s="349" t="str">
        <f>IF(E24&lt;&gt;"",IF(E24&lt;=1.17,"D",IF(E24&lt;=1.5,"D+",IF(E24&lt;=1.84,"C-",IF(E24&lt;=2.17,"C",IF(E24&lt;=2.5,"C+",IF(E24&lt;=2.84,"B-",IF(E24&lt;=3.17,"B",IF(E24&lt;=3.5,"B+",IF(E24&lt;=3.84,"A-","A"))))))))),"")</f>
        <v>B</v>
      </c>
      <c r="G24" s="271">
        <f>IF($C$24&lt;&gt;"",VLOOKUP($M$15,Capaian1!$B$5:$CT$44,8,0),"")</f>
        <v>3.3</v>
      </c>
      <c r="H24" s="349" t="str">
        <f>IF(G24&lt;&gt;"",IF(G24&lt;=1.17,"D",IF(G24&lt;=1.5,"D+",IF(G24&lt;=1.84,"C-",IF(G24&lt;=2.17,"C",IF(G24&lt;=2.5,"C+",IF(G24&lt;=2.84,"B-",IF(G24&lt;=3.17,"B",IF(G24&lt;=3.5,"B+",IF(G24&lt;=3.84,"A-","A"))))))))),"")</f>
        <v>B+</v>
      </c>
      <c r="I24" s="272" t="str">
        <f>IF($C$24&lt;&gt;"",VLOOKUP($M$15,Capaian1!$B$5:$CT$44,9,0),"")</f>
        <v>B</v>
      </c>
      <c r="J24" s="481"/>
      <c r="K24" s="22"/>
      <c r="O24" s="21">
        <f>IF(Peserta_Didik!C11&lt;&gt;"",Peserta_Didik!B11,"")</f>
        <v>9</v>
      </c>
    </row>
    <row r="25" spans="2:19" ht="27" customHeight="1" x14ac:dyDescent="0.25">
      <c r="B25" s="55"/>
      <c r="C25" s="479" t="str">
        <f>IF(C24&lt;&gt;"","Nama Guru : "&amp;Mata_Pelajaran!G5,"")</f>
        <v>Nama Guru : Ismania HMI, S.Pd</v>
      </c>
      <c r="D25" s="480"/>
      <c r="E25" s="267"/>
      <c r="F25" s="268"/>
      <c r="G25" s="267"/>
      <c r="H25" s="268"/>
      <c r="I25" s="268"/>
      <c r="J25" s="481"/>
      <c r="K25" s="22"/>
    </row>
    <row r="26" spans="2:19" ht="27" customHeight="1" x14ac:dyDescent="0.25">
      <c r="B26" s="62">
        <v>3</v>
      </c>
      <c r="C26" s="462" t="str">
        <f>IF(Mata_Pelajaran!D6&lt;&gt;"",Mata_Pelajaran!D6,"")</f>
        <v>Bahasa Indonesia</v>
      </c>
      <c r="D26" s="463"/>
      <c r="E26" s="271">
        <f>IF($C$26&lt;&gt;"",VLOOKUP($M$15,Capaian1!$B$5:$CT$44,10,0),"")</f>
        <v>3.6719999999999997</v>
      </c>
      <c r="F26" s="349" t="str">
        <f>IF(E26&lt;&gt;"",IF(E26&lt;=1.17,"D",IF(E26&lt;=1.5,"D+",IF(E26&lt;=1.84,"C-",IF(E26&lt;=2.17,"C",IF(E26&lt;=2.5,"C+",IF(E26&lt;=2.84,"B-",IF(E26&lt;=3.17,"B",IF(E26&lt;=3.5,"B+",IF(E26&lt;=3.84,"A-","A"))))))))),"")</f>
        <v>A-</v>
      </c>
      <c r="G26" s="271">
        <f>IF($C$26&lt;&gt;"",VLOOKUP($M$15,Capaian1!$B$5:$CT$44,11,0),"")</f>
        <v>3.4</v>
      </c>
      <c r="H26" s="349" t="str">
        <f>IF(G26&lt;&gt;"",IF(G26&lt;=1.17,"D",IF(G26&lt;=1.5,"D+",IF(G26&lt;=1.84,"C-",IF(G26&lt;=2.17,"C",IF(G26&lt;=2.5,"C+",IF(G26&lt;=2.84,"B-",IF(G26&lt;=3.17,"B",IF(G26&lt;=3.5,"B+",IF(G26&lt;=3.84,"A-","A"))))))))),"")</f>
        <v>B+</v>
      </c>
      <c r="I26" s="272" t="str">
        <f>IF($C$26&lt;&gt;"",VLOOKUP($M$15,Capaian1!$B$5:$CT$44,12,0),"")</f>
        <v>SB</v>
      </c>
      <c r="J26" s="481"/>
      <c r="K26" s="22"/>
      <c r="O26" s="21">
        <f>IF(Peserta_Didik!C12&lt;&gt;"",Peserta_Didik!B12,"")</f>
        <v>10</v>
      </c>
    </row>
    <row r="27" spans="2:19" ht="27" customHeight="1" x14ac:dyDescent="0.25">
      <c r="B27" s="55"/>
      <c r="C27" s="479" t="str">
        <f>IF(C26&lt;&gt;"","Nama Guru : "&amp;Mata_Pelajaran!G6,"")</f>
        <v>Nama Guru : Iis Tarliah, S.Pd</v>
      </c>
      <c r="D27" s="480"/>
      <c r="E27" s="267"/>
      <c r="F27" s="268"/>
      <c r="G27" s="267"/>
      <c r="H27" s="268"/>
      <c r="I27" s="268"/>
      <c r="J27" s="481"/>
      <c r="K27" s="22"/>
    </row>
    <row r="28" spans="2:19" ht="27" customHeight="1" x14ac:dyDescent="0.25">
      <c r="B28" s="62">
        <v>4</v>
      </c>
      <c r="C28" s="462" t="str">
        <f>IF(Mata_Pelajaran!D7&lt;&gt;"",Mata_Pelajaran!D7,"")</f>
        <v>Matematika</v>
      </c>
      <c r="D28" s="463"/>
      <c r="E28" s="271">
        <f>IF($C$28&lt;&gt;"",VLOOKUP($M$15,Capaian1!$B$5:$CT$44,13,0),"")</f>
        <v>2.8364285714285713</v>
      </c>
      <c r="F28" s="349" t="str">
        <f>IF(E28&lt;&gt;"",IF(E28&lt;=1.17,"D",IF(E28&lt;=1.5,"D+",IF(E28&lt;=1.84,"C-",IF(E28&lt;=2.17,"C",IF(E28&lt;=2.5,"C+",IF(E28&lt;=2.84,"B-",IF(E28&lt;=3.17,"B",IF(E28&lt;=3.5,"B+",IF(E28&lt;=3.84,"A-","A"))))))))),"")</f>
        <v>B-</v>
      </c>
      <c r="G28" s="271">
        <f>IF($C$28&lt;&gt;"",VLOOKUP($M$15,Capaian1!$B$5:$CT$44,14,0),"")</f>
        <v>2.9478095238095237</v>
      </c>
      <c r="H28" s="349" t="str">
        <f>IF(G28&lt;&gt;"",IF(G28&lt;=1.17,"D",IF(G28&lt;=1.5,"D+",IF(G28&lt;=1.84,"C-",IF(G28&lt;=2.17,"C",IF(G28&lt;=2.5,"C+",IF(G28&lt;=2.84,"B-",IF(G28&lt;=3.17,"B",IF(G28&lt;=3.5,"B+",IF(G28&lt;=3.84,"A-","A"))))))))),"")</f>
        <v>B</v>
      </c>
      <c r="I28" s="272" t="str">
        <f>IF($C$28&lt;&gt;"",VLOOKUP($M$15,Capaian1!$B$5:$CT$44,15,0),"")</f>
        <v>B</v>
      </c>
      <c r="J28" s="481"/>
      <c r="K28" s="22"/>
      <c r="O28" s="21">
        <f>IF(Peserta_Didik!C13&lt;&gt;"",Peserta_Didik!B13,"")</f>
        <v>11</v>
      </c>
    </row>
    <row r="29" spans="2:19" ht="27" customHeight="1" x14ac:dyDescent="0.25">
      <c r="B29" s="55"/>
      <c r="C29" s="479" t="str">
        <f>IF(C28&lt;&gt;"","Nama Guru : "&amp;Mata_Pelajaran!G7,"")</f>
        <v>Nama Guru : Drs.Upie Indrakusumah</v>
      </c>
      <c r="D29" s="480"/>
      <c r="E29" s="267"/>
      <c r="F29" s="268"/>
      <c r="G29" s="267"/>
      <c r="H29" s="268"/>
      <c r="I29" s="268"/>
      <c r="J29" s="481"/>
      <c r="K29" s="22"/>
    </row>
    <row r="30" spans="2:19" ht="27" customHeight="1" x14ac:dyDescent="0.25">
      <c r="B30" s="62">
        <v>5</v>
      </c>
      <c r="C30" s="462" t="str">
        <f>IF(Mata_Pelajaran!D8&lt;&gt;"",Mata_Pelajaran!D8,"")</f>
        <v>Sejarah Indonesia</v>
      </c>
      <c r="D30" s="463"/>
      <c r="E30" s="271">
        <f>IF($C$30&lt;&gt;"",VLOOKUP($M$15,Capaian1!$B$5:$CT$44,16,0),"")</f>
        <v>3.2159999999999997</v>
      </c>
      <c r="F30" s="349" t="str">
        <f>IF(E30&lt;&gt;"",IF(E30&lt;=1.17,"D",IF(E30&lt;=1.5,"D+",IF(E30&lt;=1.84,"C-",IF(E30&lt;=2.17,"C",IF(E30&lt;=2.5,"C+",IF(E30&lt;=2.84,"B-",IF(E30&lt;=3.17,"B",IF(E30&lt;=3.5,"B+",IF(E30&lt;=3.84,"A-","A"))))))))),"")</f>
        <v>B+</v>
      </c>
      <c r="G30" s="271">
        <f>IF($C$30&lt;&gt;"",VLOOKUP($M$15,Capaian1!$B$5:$CT$44,17,0),"")</f>
        <v>3.22</v>
      </c>
      <c r="H30" s="349" t="str">
        <f>IF(G30&lt;&gt;"",IF(G30&lt;=1.17,"D",IF(G30&lt;=1.5,"D+",IF(G30&lt;=1.84,"C-",IF(G30&lt;=2.17,"C",IF(G30&lt;=2.5,"C+",IF(G30&lt;=2.84,"B-",IF(G30&lt;=3.17,"B",IF(G30&lt;=3.5,"B+",IF(G30&lt;=3.84,"A-","A"))))))))),"")</f>
        <v>B+</v>
      </c>
      <c r="I30" s="272" t="str">
        <f>IF($C$30&lt;&gt;"",VLOOKUP($M$15,Capaian1!$B$5:$CT$44,18,0),"")</f>
        <v>B</v>
      </c>
      <c r="J30" s="481"/>
      <c r="K30" s="22"/>
      <c r="O30" s="21">
        <f>IF(Peserta_Didik!C14&lt;&gt;"",Peserta_Didik!B14,"")</f>
        <v>12</v>
      </c>
    </row>
    <row r="31" spans="2:19" ht="27" customHeight="1" x14ac:dyDescent="0.25">
      <c r="B31" s="55"/>
      <c r="C31" s="479" t="str">
        <f>IF(C30&lt;&gt;"","Nama Guru : "&amp;Mata_Pelajaran!G8,"")</f>
        <v>Nama Guru : Tita Kania, S.Pd</v>
      </c>
      <c r="D31" s="480"/>
      <c r="E31" s="267"/>
      <c r="F31" s="268"/>
      <c r="G31" s="267"/>
      <c r="H31" s="268"/>
      <c r="I31" s="268"/>
      <c r="J31" s="481"/>
      <c r="K31" s="22"/>
    </row>
    <row r="32" spans="2:19" ht="27" customHeight="1" x14ac:dyDescent="0.25">
      <c r="B32" s="62">
        <v>6</v>
      </c>
      <c r="C32" s="462" t="str">
        <f>IF(Mata_Pelajaran!D9&lt;&gt;"",Mata_Pelajaran!D9,"")</f>
        <v>Bahasa Inggris</v>
      </c>
      <c r="D32" s="463"/>
      <c r="E32" s="271">
        <f>IF($C$32&lt;&gt;"",VLOOKUP($M$15,Capaian1!$B$5:$CT$44,19,0),"")</f>
        <v>3.2639999999999998</v>
      </c>
      <c r="F32" s="349" t="str">
        <f>IF(E32&lt;&gt;"",IF(E32&lt;=1.17,"D",IF(E32&lt;=1.5,"D+",IF(E32&lt;=1.84,"C-",IF(E32&lt;=2.17,"C",IF(E32&lt;=2.5,"C+",IF(E32&lt;=2.84,"B-",IF(E32&lt;=3.17,"B",IF(E32&lt;=3.5,"B+",IF(E32&lt;=3.84,"A-","A"))))))))),"")</f>
        <v>B+</v>
      </c>
      <c r="G32" s="271">
        <f>IF($C$32&lt;&gt;"",VLOOKUP($M$15,Capaian1!$B$5:$CT$44,20,0),"")</f>
        <v>3.2439999999999998</v>
      </c>
      <c r="H32" s="349" t="str">
        <f>IF(G32&lt;&gt;"",IF(G32&lt;=1.17,"D",IF(G32&lt;=1.5,"D+",IF(G32&lt;=1.84,"C-",IF(G32&lt;=2.17,"C",IF(G32&lt;=2.5,"C+",IF(G32&lt;=2.84,"B-",IF(G32&lt;=3.17,"B",IF(G32&lt;=3.5,"B+",IF(G32&lt;=3.84,"A-","A"))))))))),"")</f>
        <v>B+</v>
      </c>
      <c r="I32" s="272" t="str">
        <f>IF($C$32&lt;&gt;"",VLOOKUP($M$15,Capaian1!$B$5:$CT$44,21,0),"")</f>
        <v>SB</v>
      </c>
      <c r="J32" s="481"/>
      <c r="K32" s="22"/>
      <c r="O32" s="21">
        <f>IF(Peserta_Didik!C15&lt;&gt;"",Peserta_Didik!B15,"")</f>
        <v>13</v>
      </c>
    </row>
    <row r="33" spans="2:15" ht="27" customHeight="1" x14ac:dyDescent="0.25">
      <c r="B33" s="71"/>
      <c r="C33" s="483" t="str">
        <f>IF(C32&lt;&gt;"","Nama Guru : "&amp;Mata_Pelajaran!G9,"")</f>
        <v>Nama Guru : Drs. Sukaya</v>
      </c>
      <c r="D33" s="484"/>
      <c r="E33" s="273"/>
      <c r="F33" s="274"/>
      <c r="G33" s="273"/>
      <c r="H33" s="274"/>
      <c r="I33" s="274"/>
      <c r="J33" s="481"/>
      <c r="K33" s="22"/>
    </row>
    <row r="34" spans="2:15" ht="18" customHeight="1" x14ac:dyDescent="0.25">
      <c r="B34" s="464" t="s">
        <v>140</v>
      </c>
      <c r="C34" s="464"/>
      <c r="D34" s="464"/>
      <c r="E34" s="464"/>
      <c r="F34" s="464"/>
      <c r="G34" s="464"/>
      <c r="H34" s="464"/>
      <c r="I34" s="464"/>
      <c r="J34" s="481"/>
      <c r="K34" s="22"/>
      <c r="O34" s="21">
        <f>IF(Peserta_Didik!C16&lt;&gt;"",Peserta_Didik!B16,"")</f>
        <v>14</v>
      </c>
    </row>
    <row r="35" spans="2:15" ht="27" customHeight="1" x14ac:dyDescent="0.25">
      <c r="B35" s="70">
        <v>1</v>
      </c>
      <c r="C35" s="460" t="str">
        <f>IF(Mata_Pelajaran!D11&lt;&gt;"",Mata_Pelajaran!D11,"")</f>
        <v>Seni Budaya</v>
      </c>
      <c r="D35" s="461"/>
      <c r="E35" s="269">
        <f>IF($C$35&lt;&gt;"",VLOOKUP($M$15,Capaian1!$B$5:$CT$44,22,0),"")</f>
        <v>3.2608000000000006</v>
      </c>
      <c r="F35" s="349" t="str">
        <f>IF(E35&lt;&gt;"",IF(E35&lt;=1.17,"D",IF(E35&lt;=1.5,"D+",IF(E35&lt;=1.84,"C-",IF(E35&lt;=2.17,"C",IF(E35&lt;=2.5,"C+",IF(E35&lt;=2.84,"B-",IF(E35&lt;=3.17,"B",IF(E35&lt;=3.5,"B+",IF(E35&lt;=3.84,"A-","A"))))))))),"")</f>
        <v>B+</v>
      </c>
      <c r="G35" s="269">
        <f>IF($C$35&lt;&gt;"",VLOOKUP($M$15,Capaian1!$B$5:$CT$44,23,0),"")</f>
        <v>3.28</v>
      </c>
      <c r="H35" s="349" t="str">
        <f>IF(G35&lt;&gt;"",IF(G35&lt;=1.17,"D",IF(G35&lt;=1.5,"D+",IF(G35&lt;=1.84,"C-",IF(G35&lt;=2.17,"C",IF(G35&lt;=2.5,"C+",IF(G35&lt;=2.84,"B-",IF(G35&lt;=3.17,"B",IF(G35&lt;=3.5,"B+",IF(G35&lt;=3.84,"A-","A"))))))))),"")</f>
        <v>B+</v>
      </c>
      <c r="I35" s="270" t="str">
        <f>IF($C$35&lt;&gt;"",VLOOKUP($M$15,Capaian1!$B$5:$CT$44,24,0),"")</f>
        <v>B</v>
      </c>
      <c r="J35" s="481"/>
      <c r="K35" s="22"/>
      <c r="O35" s="21">
        <f>IF(Peserta_Didik!C17&lt;&gt;"",Peserta_Didik!B17,"")</f>
        <v>15</v>
      </c>
    </row>
    <row r="36" spans="2:15" ht="27" customHeight="1" x14ac:dyDescent="0.25">
      <c r="B36" s="55"/>
      <c r="C36" s="501" t="str">
        <f>IF(C35&lt;&gt;"","Nama Guru : "&amp;Mata_Pelajaran!G11,"")</f>
        <v>Nama Guru : Agus Bekti S.pd</v>
      </c>
      <c r="D36" s="502"/>
      <c r="E36" s="267"/>
      <c r="F36" s="268"/>
      <c r="G36" s="267"/>
      <c r="H36" s="268"/>
      <c r="I36" s="268"/>
      <c r="J36" s="481"/>
      <c r="K36" s="22"/>
    </row>
    <row r="37" spans="2:15" ht="27" customHeight="1" x14ac:dyDescent="0.25">
      <c r="B37" s="62">
        <v>2</v>
      </c>
      <c r="C37" s="462" t="str">
        <f>IF(Mata_Pelajaran!D12&lt;&gt;"",Mata_Pelajaran!D12,"")</f>
        <v>Pendidikan Jasmani, Olah Raga, dan Kesehatan</v>
      </c>
      <c r="D37" s="463"/>
      <c r="E37" s="271">
        <f>IF($C$37&lt;&gt;"",VLOOKUP($M$15,Capaian1!$B$5:$CT$44,25,0),"")</f>
        <v>3.28</v>
      </c>
      <c r="F37" s="349" t="str">
        <f>IF(E37&lt;&gt;"",IF(E37&lt;=1.17,"D",IF(E37&lt;=1.5,"D+",IF(E37&lt;=1.84,"C-",IF(E37&lt;=2.17,"C",IF(E37&lt;=2.5,"C+",IF(E37&lt;=2.84,"B-",IF(E37&lt;=3.17,"B",IF(E37&lt;=3.5,"B+",IF(E37&lt;=3.84,"A-","A"))))))))),"")</f>
        <v>B+</v>
      </c>
      <c r="G37" s="271">
        <f>IF($C$37&lt;&gt;"",VLOOKUP($M$15,Capaian1!$B$5:$CT$44,26,0),"")</f>
        <v>3.38</v>
      </c>
      <c r="H37" s="349" t="str">
        <f>IF(G37&lt;&gt;"",IF(G37&lt;=1.17,"D",IF(G37&lt;=1.5,"D+",IF(G37&lt;=1.84,"C-",IF(G37&lt;=2.17,"C",IF(G37&lt;=2.5,"C+",IF(G37&lt;=2.84,"B-",IF(G37&lt;=3.17,"B",IF(G37&lt;=3.5,"B+",IF(G37&lt;=3.84,"A-","A"))))))))),"")</f>
        <v>B+</v>
      </c>
      <c r="I37" s="272" t="str">
        <f>IF($C$37&lt;&gt;"",VLOOKUP($M$15,Capaian1!$B$5:$CT$44,27,0),"")</f>
        <v>B</v>
      </c>
      <c r="J37" s="481"/>
      <c r="K37" s="22"/>
      <c r="O37" s="21">
        <f>IF(Peserta_Didik!C18&lt;&gt;"",Peserta_Didik!B18,"")</f>
        <v>16</v>
      </c>
    </row>
    <row r="38" spans="2:15" ht="27" customHeight="1" x14ac:dyDescent="0.25">
      <c r="B38" s="65"/>
      <c r="C38" s="479" t="str">
        <f>IF(C37&lt;&gt;"","Nama Guru : "&amp;Mata_Pelajaran!G12,"")</f>
        <v>Nama Guru : Dra. Martha Ulli</v>
      </c>
      <c r="D38" s="480"/>
      <c r="E38" s="275"/>
      <c r="F38" s="276"/>
      <c r="G38" s="275"/>
      <c r="H38" s="276"/>
      <c r="I38" s="276"/>
      <c r="J38" s="481"/>
      <c r="K38" s="22"/>
    </row>
    <row r="39" spans="2:15" ht="27" customHeight="1" x14ac:dyDescent="0.25">
      <c r="B39" s="62">
        <v>3</v>
      </c>
      <c r="C39" s="487" t="str">
        <f>IF(Mata_Pelajaran!D13&lt;&gt;"",Mata_Pelajaran!D13,"")</f>
        <v>Prakarya dan Kewirausahaan</v>
      </c>
      <c r="D39" s="488"/>
      <c r="E39" s="271">
        <f>IF($C$39&lt;&gt;"",VLOOKUP($M$15,Capaian1!$B$5:$CT$44,28,0),"")</f>
        <v>3.2639999999999998</v>
      </c>
      <c r="F39" s="349" t="str">
        <f>IF(E39&lt;&gt;"",IF(E39&lt;=1.17,"D",IF(E39&lt;=1.5,"D+",IF(E39&lt;=1.84,"C-",IF(E39&lt;=2.17,"C",IF(E39&lt;=2.5,"C+",IF(E39&lt;=2.84,"B-",IF(E39&lt;=3.17,"B",IF(E39&lt;=3.5,"B+",IF(E39&lt;=3.84,"A-","A"))))))))),"")</f>
        <v>B+</v>
      </c>
      <c r="G39" s="271">
        <f>IF($C$39&lt;&gt;"",VLOOKUP($M$15,Capaian1!$B$5:$CT$44,29,0),"")</f>
        <v>3.3</v>
      </c>
      <c r="H39" s="349" t="str">
        <f>IF(G39&lt;&gt;"",IF(G39&lt;=1.17,"D",IF(G39&lt;=1.5,"D+",IF(G39&lt;=1.84,"C-",IF(G39&lt;=2.17,"C",IF(G39&lt;=2.5,"C+",IF(G39&lt;=2.84,"B-",IF(G39&lt;=3.17,"B",IF(G39&lt;=3.5,"B+",IF(G39&lt;=3.84,"A-","A"))))))))),"")</f>
        <v>B+</v>
      </c>
      <c r="I39" s="272" t="str">
        <f>IF($C$39&lt;&gt;"",VLOOKUP($M$15,Capaian1!$B$5:$CT$44,30,0),"")</f>
        <v>B</v>
      </c>
      <c r="J39" s="481"/>
      <c r="K39" s="23"/>
      <c r="O39" s="21">
        <f>IF(Peserta_Didik!C19&lt;&gt;"",Peserta_Didik!B19,"")</f>
        <v>17</v>
      </c>
    </row>
    <row r="40" spans="2:15" ht="27" customHeight="1" x14ac:dyDescent="0.25">
      <c r="B40" s="71"/>
      <c r="C40" s="483" t="str">
        <f>IF(C39&lt;&gt;"","Nama Guru : "&amp;Mata_Pelajaran!G13,"")</f>
        <v>Nama Guru : Dra. Rini Anggraeni</v>
      </c>
      <c r="D40" s="484"/>
      <c r="E40" s="273"/>
      <c r="F40" s="274"/>
      <c r="G40" s="273"/>
      <c r="H40" s="274"/>
      <c r="I40" s="274"/>
      <c r="J40" s="482"/>
      <c r="K40" s="23"/>
      <c r="O40" s="21">
        <f>IF(Peserta_Didik!C20&lt;&gt;"",Peserta_Didik!B20,"")</f>
        <v>18</v>
      </c>
    </row>
    <row r="41" spans="2:15" ht="18" customHeight="1" x14ac:dyDescent="0.25">
      <c r="B41" s="456" t="s">
        <v>141</v>
      </c>
      <c r="C41" s="457"/>
      <c r="D41" s="457"/>
      <c r="E41" s="457"/>
      <c r="F41" s="457"/>
      <c r="G41" s="457"/>
      <c r="H41" s="457"/>
      <c r="I41" s="458"/>
      <c r="J41" s="277"/>
      <c r="K41" s="22"/>
      <c r="O41" s="21">
        <f>IF(Peserta_Didik!C20&lt;&gt;"",Peserta_Didik!B20,"")</f>
        <v>18</v>
      </c>
    </row>
    <row r="42" spans="2:15" ht="18" customHeight="1" x14ac:dyDescent="0.25">
      <c r="B42" s="278" t="s">
        <v>130</v>
      </c>
      <c r="C42" s="459" t="s">
        <v>131</v>
      </c>
      <c r="D42" s="459"/>
      <c r="E42" s="459"/>
      <c r="F42" s="459"/>
      <c r="G42" s="459"/>
      <c r="H42" s="459"/>
      <c r="I42" s="459"/>
      <c r="J42" s="277"/>
      <c r="K42" s="22"/>
      <c r="O42" s="21">
        <f>IF(Peserta_Didik!C21&lt;&gt;"",Peserta_Didik!B21,"")</f>
        <v>19</v>
      </c>
    </row>
    <row r="43" spans="2:15" ht="27" customHeight="1" x14ac:dyDescent="0.25">
      <c r="B43" s="70">
        <v>1</v>
      </c>
      <c r="C43" s="460" t="str">
        <f>IF(Mata_Pelajaran!D15&lt;&gt;"",Mata_Pelajaran!D15,"")</f>
        <v>Fisika</v>
      </c>
      <c r="D43" s="461"/>
      <c r="E43" s="269">
        <f>IF($C$43&lt;&gt;"",VLOOKUP($M$15,Capaian1!$B$5:$CT$44,31,0),"")</f>
        <v>3.0920000000000001</v>
      </c>
      <c r="F43" s="349" t="str">
        <f>IF(E43&lt;&gt;"",IF(E43&lt;=1.17,"D",IF(E43&lt;=1.5,"D+",IF(E43&lt;=1.84,"C-",IF(E43&lt;=2.17,"C",IF(E43&lt;=2.5,"C+",IF(E43&lt;=2.84,"B-",IF(E43&lt;=3.17,"B",IF(E43&lt;=3.5,"B+",IF(E43&lt;=3.84,"A-","A"))))))))),"")</f>
        <v>B</v>
      </c>
      <c r="G43" s="269">
        <f>IF($C$43&lt;&gt;"",VLOOKUP($M$15,Capaian1!$B$5:$CT$44,32,0),"")</f>
        <v>3.05</v>
      </c>
      <c r="H43" s="349" t="str">
        <f>IF(G43&lt;&gt;"",IF(G43&lt;=1.17,"D",IF(G43&lt;=1.5,"D+",IF(G43&lt;=1.84,"C-",IF(G43&lt;=2.17,"C",IF(G43&lt;=2.5,"C+",IF(G43&lt;=2.84,"B-",IF(G43&lt;=3.17,"B",IF(G43&lt;=3.5,"B+",IF(G43&lt;=3.84,"A-","A"))))))))),"")</f>
        <v>B</v>
      </c>
      <c r="I43" s="270" t="str">
        <f>IF($C$43&lt;&gt;"",VLOOKUP($M$15,Capaian1!$B$5:$CT$44,33,0),"")</f>
        <v>B</v>
      </c>
      <c r="J43" s="277"/>
      <c r="K43" s="22"/>
      <c r="O43" s="21">
        <f>IF(Peserta_Didik!C22&lt;&gt;"",Peserta_Didik!B22,"")</f>
        <v>20</v>
      </c>
    </row>
    <row r="44" spans="2:15" ht="27" customHeight="1" x14ac:dyDescent="0.25">
      <c r="B44" s="55"/>
      <c r="C44" s="479" t="str">
        <f>IF(C43&lt;&gt;"","Nama Guru : "&amp;Mata_Pelajaran!G15,"")</f>
        <v>Nama Guru : Farida Tahar M.pd</v>
      </c>
      <c r="D44" s="480"/>
      <c r="E44" s="267"/>
      <c r="F44" s="268"/>
      <c r="G44" s="267"/>
      <c r="H44" s="268"/>
      <c r="I44" s="268"/>
      <c r="J44" s="277"/>
      <c r="K44" s="22"/>
    </row>
    <row r="45" spans="2:15" ht="27" customHeight="1" x14ac:dyDescent="0.25">
      <c r="B45" s="62">
        <v>2</v>
      </c>
      <c r="C45" s="462" t="str">
        <f>IF(Mata_Pelajaran!D16&lt;&gt;"",Mata_Pelajaran!D16,"")</f>
        <v>Sistem Komputer</v>
      </c>
      <c r="D45" s="463"/>
      <c r="E45" s="271">
        <f>IF($C$45&lt;&gt;"",VLOOKUP($M$15,Capaian1!$B$5:$CT$44,34,0),"")</f>
        <v>3.2986</v>
      </c>
      <c r="F45" s="349" t="str">
        <f>IF(E45&lt;&gt;"",IF(E45&lt;=1.17,"D",IF(E45&lt;=1.5,"D+",IF(E45&lt;=1.84,"C-",IF(E45&lt;=2.17,"C",IF(E45&lt;=2.5,"C+",IF(E45&lt;=2.84,"B-",IF(E45&lt;=3.17,"B",IF(E45&lt;=3.5,"B+",IF(E45&lt;=3.84,"A-","A"))))))))),"")</f>
        <v>B+</v>
      </c>
      <c r="G45" s="271">
        <f>IF($C$45&lt;&gt;"",VLOOKUP($M$15,Capaian1!$B$5:$CT$44,35,0),"")</f>
        <v>3.2960000000000003</v>
      </c>
      <c r="H45" s="349" t="str">
        <f>IF(G45&lt;&gt;"",IF(G45&lt;=1.17,"D",IF(G45&lt;=1.5,"D+",IF(G45&lt;=1.84,"C-",IF(G45&lt;=2.17,"C",IF(G45&lt;=2.5,"C+",IF(G45&lt;=2.84,"B-",IF(G45&lt;=3.17,"B",IF(G45&lt;=3.5,"B+",IF(G45&lt;=3.84,"A-","A"))))))))),"")</f>
        <v>B+</v>
      </c>
      <c r="I45" s="272" t="str">
        <f>IF($C$45&lt;&gt;"",VLOOKUP($M$15,Capaian1!$B$5:$CT$44,36,0),"")</f>
        <v>B</v>
      </c>
      <c r="J45" s="277"/>
      <c r="K45" s="22"/>
      <c r="O45" s="21">
        <f>IF(Peserta_Didik!C23&lt;&gt;"",Peserta_Didik!B23,"")</f>
        <v>21</v>
      </c>
    </row>
    <row r="46" spans="2:15" ht="27" customHeight="1" x14ac:dyDescent="0.25">
      <c r="B46" s="55"/>
      <c r="C46" s="479" t="str">
        <f>IF(C45&lt;&gt;"","Nama Guru : "&amp;Mata_Pelajaran!G16,"")</f>
        <v>Nama Guru : Rofidin S.kom</v>
      </c>
      <c r="D46" s="480"/>
      <c r="E46" s="275"/>
      <c r="F46" s="276"/>
      <c r="G46" s="275"/>
      <c r="H46" s="276"/>
      <c r="I46" s="276"/>
      <c r="J46" s="277"/>
      <c r="K46" s="22"/>
    </row>
    <row r="47" spans="2:15" ht="27" customHeight="1" x14ac:dyDescent="0.25">
      <c r="B47" s="62">
        <v>3</v>
      </c>
      <c r="C47" s="462" t="str">
        <f>IF(Mata_Pelajaran!D17&lt;&gt;"",Mata_Pelajaran!D17,"")</f>
        <v/>
      </c>
      <c r="D47" s="463"/>
      <c r="E47" s="271" t="str">
        <f>IF($C$47&lt;&gt;"",VLOOKUP($M$15,Capaian1!$B$5:$CT$44,37,0),"")</f>
        <v/>
      </c>
      <c r="F47" s="349" t="str">
        <f>IF(E47&lt;&gt;"",IF(E47&lt;=1.17,"D",IF(E47&lt;=1.5,"D+",IF(E47&lt;=1.84,"C-",IF(E47&lt;=2.17,"C",IF(E47&lt;=2.5,"C+",IF(E47&lt;=2.84,"B-",IF(E47&lt;=3.17,"B",IF(E47&lt;=3.5,"B+",IF(E47&lt;=3.84,"A-","A"))))))))),"")</f>
        <v/>
      </c>
      <c r="G47" s="271" t="str">
        <f>IF($C$47&lt;&gt;"",VLOOKUP($M$15,Capaian1!$B$5:$CT$44,38,0),"")</f>
        <v/>
      </c>
      <c r="H47" s="349" t="str">
        <f>IF(G47&lt;&gt;"",IF(G47&lt;=1.17,"D",IF(G47&lt;=1.5,"D+",IF(G47&lt;=1.84,"C-",IF(G47&lt;=2.17,"C",IF(G47&lt;=2.5,"C+",IF(G47&lt;=2.84,"B-",IF(G47&lt;=3.17,"B",IF(G47&lt;=3.5,"B+",IF(G47&lt;=3.84,"A-","A"))))))))),"")</f>
        <v/>
      </c>
      <c r="I47" s="272" t="str">
        <f>IF($C$47&lt;&gt;"",VLOOKUP($M$15,Capaian1!$B$5:$CT$44,39,0),"")</f>
        <v/>
      </c>
      <c r="J47" s="277"/>
      <c r="K47" s="22"/>
      <c r="O47" s="21">
        <f>IF(Peserta_Didik!C24&lt;&gt;"",Peserta_Didik!B24,"")</f>
        <v>22</v>
      </c>
    </row>
    <row r="48" spans="2:15" ht="27" customHeight="1" x14ac:dyDescent="0.25">
      <c r="B48" s="55"/>
      <c r="C48" s="483" t="str">
        <f>IF(C47&lt;&gt;"","Nama Guru : "&amp;Mata_Pelajaran!G17,"")</f>
        <v/>
      </c>
      <c r="D48" s="484"/>
      <c r="E48" s="275"/>
      <c r="F48" s="276"/>
      <c r="G48" s="275"/>
      <c r="H48" s="276"/>
      <c r="I48" s="276"/>
      <c r="J48" s="277"/>
      <c r="K48" s="22"/>
    </row>
    <row r="49" spans="2:15" ht="27" hidden="1" customHeight="1" x14ac:dyDescent="0.25">
      <c r="B49" s="62">
        <v>4</v>
      </c>
      <c r="C49" s="462" t="str">
        <f>IF(Mata_Pelajaran!D18&lt;&gt;"",Mata_Pelajaran!D18,"")</f>
        <v/>
      </c>
      <c r="D49" s="463"/>
      <c r="E49" s="271" t="str">
        <f>IF($C$49&lt;&gt;"",VLOOKUP($M$15,Capaian1!$B$5:$CT$44,40,0),"")</f>
        <v/>
      </c>
      <c r="F49" s="272" t="str">
        <f>IF(E49&lt;&gt;"",IF(E49&lt;1.33,"D",IF(E49&lt;1.67,"D+",IF(E49&lt;2,"C-",IF(E49&lt;2.33,"C",IF(E49&lt;2.67,"C+",IF(E49&lt;3,"B-",IF(E49&lt;3.33,"B",IF(E49&lt;3.67,"B+",IF(E49&lt;4,"A-","A"))))))))),"")</f>
        <v/>
      </c>
      <c r="G49" s="271" t="str">
        <f>IF($C$49&lt;&gt;"",VLOOKUP($M$15,Capaian1!$B$5:$CT$44,41,0),"")</f>
        <v/>
      </c>
      <c r="H49" s="272" t="str">
        <f>IF(G49&lt;&gt;"",IF(G49&lt;1.33,"D",IF(G49&lt;1.67,"D+",IF(G49&lt;2,"C-",IF(G49&lt;2.33,"C",IF(G49&lt;2.67,"C+",IF(G49&lt;3,"B-",IF(G49&lt;3.33,"B",IF(G49&lt;3.67,"B+",IF(G49&lt;4,"A-","A"))))))))),"")</f>
        <v/>
      </c>
      <c r="I49" s="272" t="str">
        <f>IF($C$49&lt;&gt;"",VLOOKUP($M$15,Capaian1!$B$5:$CT$44,42,0),"")</f>
        <v/>
      </c>
      <c r="J49" s="277"/>
      <c r="K49" s="22"/>
      <c r="L49" s="272" t="str">
        <f>IF(K49&lt;&gt;"",IF(K49&lt;1.33,"D",IF(K49&lt;1.67,"D+",IF(K49&lt;2,"C-",IF(K49&lt;2.33,"C",IF(K49&lt;2.67,"C+",IF(K49&lt;3,"B-",IF(K49&lt;3.33,"B",IF(K49&lt;3.67,"B+",IF(K49&lt;4,"A-","A"))))))))),"")</f>
        <v/>
      </c>
    </row>
    <row r="50" spans="2:15" ht="27" hidden="1" customHeight="1" x14ac:dyDescent="0.25">
      <c r="B50" s="55"/>
      <c r="C50" s="483" t="str">
        <f>IF(C49&lt;&gt;"","Nama Guru : "&amp;Mata_Pelajaran!G18,"")</f>
        <v/>
      </c>
      <c r="D50" s="484"/>
      <c r="E50" s="275"/>
      <c r="F50" s="276"/>
      <c r="G50" s="275"/>
      <c r="H50" s="276"/>
      <c r="I50" s="276"/>
      <c r="J50" s="277"/>
      <c r="K50" s="22"/>
    </row>
    <row r="51" spans="2:15" ht="27" hidden="1" customHeight="1" x14ac:dyDescent="0.25">
      <c r="B51" s="62">
        <v>5</v>
      </c>
      <c r="C51" s="462" t="str">
        <f>IF(Mata_Pelajaran!D19&lt;&gt;"",Mata_Pelajaran!D19,"")</f>
        <v/>
      </c>
      <c r="D51" s="463"/>
      <c r="E51" s="271" t="str">
        <f>IF($C$51&lt;&gt;"",VLOOKUP($M$15,Capaian1!$B$5:$CT$44,43,0),"")</f>
        <v/>
      </c>
      <c r="F51" s="272" t="str">
        <f>IF(E51&lt;&gt;"",IF(E51&lt;1.33,"D",IF(E51&lt;1.67,"D+",IF(E51&lt;2,"C-",IF(E51&lt;2.33,"C",IF(E51&lt;2.67,"C+",IF(E51&lt;3,"B-",IF(E51&lt;3.33,"B",IF(E51&lt;3.67,"B+",IF(E51&lt;4,"A-","A"))))))))),"")</f>
        <v/>
      </c>
      <c r="G51" s="271" t="str">
        <f>IF($C$51&lt;&gt;"",VLOOKUP($M$15,Capaian1!$B$5:$CT$44,44,0),"")</f>
        <v/>
      </c>
      <c r="H51" s="272" t="str">
        <f>IF(G51&lt;&gt;"",IF(G51&lt;1.33,"D",IF(G51&lt;1.67,"D+",IF(G51&lt;2,"C-",IF(G51&lt;2.33,"C",IF(G51&lt;2.67,"C+",IF(G51&lt;3,"B-",IF(G51&lt;3.33,"B",IF(G51&lt;3.67,"B+",IF(G51&lt;4,"A-","A"))))))))),"")</f>
        <v/>
      </c>
      <c r="I51" s="272" t="str">
        <f>IF($C$51&lt;&gt;"",VLOOKUP($M$15,Capaian1!$B$5:$CT$44,45,0),"")</f>
        <v/>
      </c>
      <c r="J51" s="277"/>
      <c r="K51" s="22"/>
    </row>
    <row r="52" spans="2:15" ht="27" hidden="1" customHeight="1" x14ac:dyDescent="0.25">
      <c r="B52" s="55"/>
      <c r="C52" s="483" t="str">
        <f>IF(C51&lt;&gt;"","Nama Guru : "&amp;Mata_Pelajaran!G19,"")</f>
        <v/>
      </c>
      <c r="D52" s="484"/>
      <c r="E52" s="275"/>
      <c r="F52" s="276"/>
      <c r="G52" s="275"/>
      <c r="H52" s="276"/>
      <c r="I52" s="276"/>
      <c r="J52" s="277"/>
      <c r="K52" s="22"/>
    </row>
    <row r="53" spans="2:15" ht="27" hidden="1" customHeight="1" x14ac:dyDescent="0.25">
      <c r="B53" s="62">
        <v>6</v>
      </c>
      <c r="C53" s="462" t="str">
        <f>IF(Mata_Pelajaran!D20&lt;&gt;"",Mata_Pelajaran!D20,"")</f>
        <v/>
      </c>
      <c r="D53" s="463"/>
      <c r="E53" s="271" t="str">
        <f>IF($C$53&lt;&gt;"",VLOOKUP($M$15,Capaian1!$B$5:$CT$44,46,0),"")</f>
        <v/>
      </c>
      <c r="F53" s="272" t="str">
        <f>IF(E53&lt;&gt;"",IF(E53&lt;1.33,"D",IF(E53&lt;1.67,"D+",IF(E53&lt;2,"C-",IF(E53&lt;2.33,"C",IF(E53&lt;2.67,"C+",IF(E53&lt;3,"B-",IF(E53&lt;3.33,"B",IF(E53&lt;3.67,"B+",IF(E53&lt;4,"A-","A"))))))))),"")</f>
        <v/>
      </c>
      <c r="G53" s="271" t="str">
        <f>IF($C$53&lt;&gt;"",VLOOKUP($M$15,Capaian1!$B$5:$CT$44,47,0),"")</f>
        <v/>
      </c>
      <c r="H53" s="272" t="str">
        <f>IF(G53&lt;&gt;"",IF(G53&lt;1.33,"D",IF(G53&lt;1.67,"D+",IF(G53&lt;2,"C-",IF(G53&lt;2.33,"C",IF(G53&lt;2.67,"C+",IF(G53&lt;3,"B-",IF(G53&lt;3.33,"B",IF(G53&lt;3.67,"B+",IF(G53&lt;4,"A-","A"))))))))),"")</f>
        <v/>
      </c>
      <c r="I53" s="272" t="str">
        <f>IF($C$53&lt;&gt;"",VLOOKUP($M$15,Capaian1!$B$5:$CT$44,48,0),"")</f>
        <v/>
      </c>
      <c r="J53" s="277"/>
      <c r="K53" s="22"/>
    </row>
    <row r="54" spans="2:15" ht="27" hidden="1" customHeight="1" x14ac:dyDescent="0.25">
      <c r="B54" s="55"/>
      <c r="C54" s="483" t="str">
        <f>IF(C53&lt;&gt;"","Nama Guru : "&amp;Mata_Pelajaran!G20,"")</f>
        <v/>
      </c>
      <c r="D54" s="484"/>
      <c r="E54" s="275"/>
      <c r="F54" s="276"/>
      <c r="G54" s="275"/>
      <c r="H54" s="276"/>
      <c r="I54" s="276"/>
      <c r="J54" s="277"/>
      <c r="K54" s="22"/>
    </row>
    <row r="55" spans="2:15" ht="18" customHeight="1" x14ac:dyDescent="0.25">
      <c r="B55" s="278" t="s">
        <v>132</v>
      </c>
      <c r="C55" s="489" t="s">
        <v>133</v>
      </c>
      <c r="D55" s="490"/>
      <c r="E55" s="490"/>
      <c r="F55" s="490"/>
      <c r="G55" s="490"/>
      <c r="H55" s="490"/>
      <c r="I55" s="491"/>
      <c r="J55" s="277"/>
      <c r="K55" s="22"/>
      <c r="O55" s="21">
        <f>IF(Peserta_Didik!C27&lt;&gt;"",Peserta_Didik!B27,"")</f>
        <v>25</v>
      </c>
    </row>
    <row r="56" spans="2:15" ht="27" customHeight="1" x14ac:dyDescent="0.25">
      <c r="B56" s="70">
        <v>1</v>
      </c>
      <c r="C56" s="460" t="str">
        <f>IF(Mata_Pelajaran!D21&lt;&gt;"",Mata_Pelajaran!D21,"")</f>
        <v>Komputer terapan</v>
      </c>
      <c r="D56" s="461"/>
      <c r="E56" s="271">
        <f>IF($C$56&lt;&gt;"",VLOOKUP($M$15,Capaian1!$B$5:$CT$44,49,0),"")</f>
        <v>3.1439999999999997</v>
      </c>
      <c r="F56" s="349" t="str">
        <f>IF(E56&lt;&gt;"",IF(E56&lt;=1.17,"D",IF(E56&lt;=1.5,"D+",IF(E56&lt;=1.84,"C-",IF(E56&lt;=2.17,"C",IF(E56&lt;=2.5,"C+",IF(E56&lt;=2.84,"B-",IF(E56&lt;=3.17,"B",IF(E56&lt;=3.5,"B+",IF(E56&lt;=3.84,"A-","A"))))))))),"")</f>
        <v>B</v>
      </c>
      <c r="G56" s="271">
        <f>IF($C$56&lt;&gt;"",VLOOKUP($M$15,Capaian1!$B$5:$CT$44,50,0),"")</f>
        <v>3.3</v>
      </c>
      <c r="H56" s="349" t="str">
        <f>IF(G56&lt;&gt;"",IF(G56&lt;=1.17,"D",IF(G56&lt;=1.5,"D+",IF(G56&lt;=1.84,"C-",IF(G56&lt;=2.17,"C",IF(G56&lt;=2.5,"C+",IF(G56&lt;=2.84,"B-",IF(G56&lt;=3.17,"B",IF(G56&lt;=3.5,"B+",IF(G56&lt;=3.84,"A-","A"))))))))),"")</f>
        <v>B+</v>
      </c>
      <c r="I56" s="271" t="str">
        <f>IF($C$56&lt;&gt;"",VLOOKUP($M$15,Capaian1!$B$5:$CT$44,51,0),"")</f>
        <v>B</v>
      </c>
      <c r="J56" s="277"/>
      <c r="K56" s="22"/>
      <c r="O56" s="21">
        <f>IF(Peserta_Didik!C28&lt;&gt;"",Peserta_Didik!B28,"")</f>
        <v>26</v>
      </c>
    </row>
    <row r="57" spans="2:15" ht="27" customHeight="1" x14ac:dyDescent="0.25">
      <c r="B57" s="55"/>
      <c r="C57" s="479" t="str">
        <f>IF(C56&lt;&gt;"","Nama Guru : "&amp;Mata_Pelajaran!G21,"")</f>
        <v>Nama Guru : Dessy Mayasari, S.Kom</v>
      </c>
      <c r="D57" s="480"/>
      <c r="E57" s="267"/>
      <c r="F57" s="268"/>
      <c r="G57" s="267"/>
      <c r="H57" s="268"/>
      <c r="I57" s="267"/>
      <c r="J57" s="277"/>
      <c r="K57" s="22"/>
    </row>
    <row r="58" spans="2:15" ht="27" customHeight="1" x14ac:dyDescent="0.25">
      <c r="B58" s="62">
        <v>2</v>
      </c>
      <c r="C58" s="462" t="str">
        <f>IF(Mata_Pelajaran!D22&lt;&gt;"",Mata_Pelajaran!D22,"")</f>
        <v>Rancang Bangun Jaringan</v>
      </c>
      <c r="D58" s="463"/>
      <c r="E58" s="271">
        <f>IF($C$58&lt;&gt;"",VLOOKUP($M$15,Capaian1!$B$5:$CT$44,52,0),"")</f>
        <v>3.2856000000000005</v>
      </c>
      <c r="F58" s="349" t="str">
        <f>IF(E58&lt;&gt;"",IF(E58&lt;=1.17,"D",IF(E58&lt;=1.5,"D+",IF(E58&lt;=1.84,"C-",IF(E58&lt;=2.17,"C",IF(E58&lt;=2.5,"C+",IF(E58&lt;=2.84,"B-",IF(E58&lt;=3.17,"B",IF(E58&lt;=3.5,"B+",IF(E58&lt;=3.84,"A-","A"))))))))),"")</f>
        <v>B+</v>
      </c>
      <c r="G58" s="271">
        <f>IF($C$58&lt;&gt;"",VLOOKUP($M$15,Capaian1!$B$5:$CT$44,53,0),"")</f>
        <v>3.3280000000000003</v>
      </c>
      <c r="H58" s="349" t="str">
        <f>IF(G58&lt;&gt;"",IF(G58&lt;=1.17,"D",IF(G58&lt;=1.5,"D+",IF(G58&lt;=1.84,"C-",IF(G58&lt;=2.17,"C",IF(G58&lt;=2.5,"C+",IF(G58&lt;=2.84,"B-",IF(G58&lt;=3.17,"B",IF(G58&lt;=3.5,"B+",IF(G58&lt;=3.84,"A-","A"))))))))),"")</f>
        <v>B+</v>
      </c>
      <c r="I58" s="271" t="str">
        <f>IF($C$58&lt;&gt;"",VLOOKUP($M$15,Capaian1!$B$5:$CT$44,54,0),"")</f>
        <v>B</v>
      </c>
      <c r="J58" s="277"/>
      <c r="K58" s="22"/>
      <c r="O58" s="21">
        <f>IF(Peserta_Didik!C29&lt;&gt;"",Peserta_Didik!B29,"")</f>
        <v>27</v>
      </c>
    </row>
    <row r="59" spans="2:15" ht="27" customHeight="1" x14ac:dyDescent="0.25">
      <c r="B59" s="55"/>
      <c r="C59" s="479" t="str">
        <f>IF(C58&lt;&gt;"","Nama Guru : "&amp;Mata_Pelajaran!G22,"")</f>
        <v>Nama Guru : Rofidin S.kom</v>
      </c>
      <c r="D59" s="480"/>
      <c r="E59" s="267"/>
      <c r="F59" s="268"/>
      <c r="G59" s="267"/>
      <c r="H59" s="268"/>
      <c r="I59" s="267"/>
      <c r="J59" s="277"/>
      <c r="K59" s="22"/>
    </row>
    <row r="60" spans="2:15" ht="27" customHeight="1" x14ac:dyDescent="0.25">
      <c r="B60" s="62">
        <v>3</v>
      </c>
      <c r="C60" s="462" t="str">
        <f>IF(Mata_Pelajaran!D23&lt;&gt;"",Mata_Pelajaran!D23,"")</f>
        <v>Komunikasi Data</v>
      </c>
      <c r="D60" s="463"/>
      <c r="E60" s="271">
        <f>IF($C$60&lt;&gt;"",VLOOKUP($M$15,Capaian1!$B$5:$CT$44,55,0),"")</f>
        <v>3.2680000000000002</v>
      </c>
      <c r="F60" s="349" t="str">
        <f>IF(E60&lt;&gt;"",IF(E60&lt;=1.17,"D",IF(E60&lt;=1.5,"D+",IF(E60&lt;=1.84,"C-",IF(E60&lt;=2.17,"C",IF(E60&lt;=2.5,"C+",IF(E60&lt;=2.84,"B-",IF(E60&lt;=3.17,"B",IF(E60&lt;=3.5,"B+",IF(E60&lt;=3.84,"A-","A"))))))))),"")</f>
        <v>B+</v>
      </c>
      <c r="G60" s="271">
        <f>IF($C$60&lt;&gt;"",VLOOKUP($M$15,Capaian1!$B$5:$CT$44,56,0),"")</f>
        <v>3.3868</v>
      </c>
      <c r="H60" s="349" t="str">
        <f>IF(G60&lt;&gt;"",IF(G60&lt;=1.17,"D",IF(G60&lt;=1.5,"D+",IF(G60&lt;=1.84,"C-",IF(G60&lt;=2.17,"C",IF(G60&lt;=2.5,"C+",IF(G60&lt;=2.84,"B-",IF(G60&lt;=3.17,"B",IF(G60&lt;=3.5,"B+",IF(G60&lt;=3.84,"A-","A"))))))))),"")</f>
        <v>B+</v>
      </c>
      <c r="I60" s="271" t="str">
        <f>IF($C$60&lt;&gt;"",VLOOKUP($M$15,Capaian1!$B$5:$CT$44,57,0),"")</f>
        <v>B</v>
      </c>
      <c r="J60" s="277"/>
      <c r="K60" s="22"/>
      <c r="O60" s="21">
        <f>IF(Peserta_Didik!C30&lt;&gt;"",Peserta_Didik!B30,"")</f>
        <v>28</v>
      </c>
    </row>
    <row r="61" spans="2:15" ht="27" customHeight="1" x14ac:dyDescent="0.25">
      <c r="B61" s="55"/>
      <c r="C61" s="479" t="str">
        <f>IF(C60&lt;&gt;"","Nama Guru : "&amp;Mata_Pelajaran!G23,"")</f>
        <v>Nama Guru : Ronny Noor R S.T</v>
      </c>
      <c r="D61" s="480"/>
      <c r="E61" s="267"/>
      <c r="F61" s="268"/>
      <c r="G61" s="267"/>
      <c r="H61" s="268"/>
      <c r="I61" s="267"/>
      <c r="J61" s="277"/>
      <c r="K61" s="22"/>
    </row>
    <row r="62" spans="2:15" ht="27" customHeight="1" x14ac:dyDescent="0.25">
      <c r="B62" s="62">
        <v>4</v>
      </c>
      <c r="C62" s="462" t="str">
        <f>IF(Mata_Pelajaran!D24&lt;&gt;"",Mata_Pelajaran!D24,"")</f>
        <v>Pemograman Dasar</v>
      </c>
      <c r="D62" s="463"/>
      <c r="E62" s="271">
        <f>IF($C$62&lt;&gt;"",VLOOKUP($M$15,Capaian1!$B$5:$CT$44,58,0),"")</f>
        <v>3.2026666666666666</v>
      </c>
      <c r="F62" s="349" t="str">
        <f>IF(E62&lt;&gt;"",IF(E62&lt;=1.17,"D",IF(E62&lt;=1.5,"D+",IF(E62&lt;=1.84,"C-",IF(E62&lt;=2.17,"C",IF(E62&lt;=2.5,"C+",IF(E62&lt;=2.84,"B-",IF(E62&lt;=3.17,"B",IF(E62&lt;=3.5,"B+",IF(E62&lt;=3.84,"A-","A"))))))))),"")</f>
        <v>B+</v>
      </c>
      <c r="G62" s="271">
        <f>IF($C$62&lt;&gt;"",VLOOKUP($M$15,Capaian1!$B$5:$CT$44,59,0),"")</f>
        <v>3.3266666666666662</v>
      </c>
      <c r="H62" s="349" t="str">
        <f>IF(G62&lt;&gt;"",IF(G62&lt;=1.17,"D",IF(G62&lt;=1.5,"D+",IF(G62&lt;=1.84,"C-",IF(G62&lt;=2.17,"C",IF(G62&lt;=2.5,"C+",IF(G62&lt;=2.84,"B-",IF(G62&lt;=3.17,"B",IF(G62&lt;=3.5,"B+",IF(G62&lt;=3.84,"A-","A"))))))))),"")</f>
        <v>B+</v>
      </c>
      <c r="I62" s="271" t="str">
        <f>IF($C$62&lt;&gt;"",VLOOKUP($M$15,Capaian1!$B$5:$CT$44,60,0),"")</f>
        <v>B</v>
      </c>
      <c r="J62" s="277"/>
      <c r="K62" s="22"/>
      <c r="O62" s="21">
        <f>IF(Peserta_Didik!C31&lt;&gt;"",Peserta_Didik!B31,"")</f>
        <v>29</v>
      </c>
    </row>
    <row r="63" spans="2:15" ht="27" customHeight="1" x14ac:dyDescent="0.25">
      <c r="B63" s="65"/>
      <c r="C63" s="479" t="str">
        <f>IF(C62&lt;&gt;"","Nama Guru : "&amp;Mata_Pelajaran!G24,"")</f>
        <v>Nama Guru : Ryan Farismana S.kom</v>
      </c>
      <c r="D63" s="480"/>
      <c r="E63" s="275"/>
      <c r="F63" s="276"/>
      <c r="G63" s="275"/>
      <c r="H63" s="276"/>
      <c r="I63" s="275"/>
      <c r="J63" s="277"/>
      <c r="K63" s="22"/>
    </row>
    <row r="64" spans="2:15" ht="27" customHeight="1" x14ac:dyDescent="0.25">
      <c r="B64" s="62">
        <v>5</v>
      </c>
      <c r="C64" s="462" t="str">
        <f>IF(Mata_Pelajaran!D25&lt;&gt;"",Mata_Pelajaran!D25,"")</f>
        <v>Administrasi Server</v>
      </c>
      <c r="D64" s="463"/>
      <c r="E64" s="271">
        <f>IF($C$64&lt;&gt;"",VLOOKUP($M$15,Capaian1!$B$5:$CT$44,61,0),"")</f>
        <v>3.32</v>
      </c>
      <c r="F64" s="349" t="str">
        <f>IF(E64&lt;&gt;"",IF(E64&lt;=1.17,"D",IF(E64&lt;=1.5,"D+",IF(E64&lt;=1.84,"C-",IF(E64&lt;=2.17,"C",IF(E64&lt;=2.5,"C+",IF(E64&lt;=2.84,"B-",IF(E64&lt;=3.17,"B",IF(E64&lt;=3.5,"B+",IF(E64&lt;=3.84,"A-","A"))))))))),"")</f>
        <v>B+</v>
      </c>
      <c r="G64" s="271">
        <f>IF($C$64&lt;&gt;"",VLOOKUP($M$15,Capaian1!$B$5:$CT$44,62,0),"")</f>
        <v>3.6</v>
      </c>
      <c r="H64" s="349" t="str">
        <f>IF(G64&lt;&gt;"",IF(G64&lt;=1.17,"D",IF(G64&lt;=1.5,"D+",IF(G64&lt;=1.84,"C-",IF(G64&lt;=2.17,"C",IF(G64&lt;=2.5,"C+",IF(G64&lt;=2.84,"B-",IF(G64&lt;=3.17,"B",IF(G64&lt;=3.5,"B+",IF(G64&lt;=3.84,"A-","A"))))))))),"")</f>
        <v>A-</v>
      </c>
      <c r="I64" s="271" t="str">
        <f>IF($C$64&lt;&gt;"",VLOOKUP($M$15,Capaian1!$B$5:$CT$44,63,0),"")</f>
        <v>B</v>
      </c>
      <c r="J64" s="277"/>
      <c r="K64" s="22"/>
      <c r="O64" s="21">
        <f>IF(Peserta_Didik!C32&lt;&gt;"",Peserta_Didik!B32,"")</f>
        <v>30</v>
      </c>
    </row>
    <row r="65" spans="2:15" ht="27" customHeight="1" x14ac:dyDescent="0.25">
      <c r="B65" s="65"/>
      <c r="C65" s="483" t="str">
        <f>IF(C64&lt;&gt;"","Nama Guru : "&amp;Mata_Pelajaran!G25,"")</f>
        <v>Nama Guru : Ryan Farismana S.kom</v>
      </c>
      <c r="D65" s="484"/>
      <c r="E65" s="275"/>
      <c r="F65" s="276"/>
      <c r="G65" s="275"/>
      <c r="H65" s="276"/>
      <c r="I65" s="275"/>
      <c r="J65" s="260"/>
      <c r="K65" s="22"/>
    </row>
    <row r="66" spans="2:15" ht="27" customHeight="1" x14ac:dyDescent="0.25">
      <c r="B66" s="62">
        <v>6</v>
      </c>
      <c r="C66" s="462" t="str">
        <f>IF(Mata_Pelajaran!D26&lt;&gt;"",Mata_Pelajaran!D26,"")</f>
        <v>Sistem Operasi Jaringan</v>
      </c>
      <c r="D66" s="463"/>
      <c r="E66" s="271">
        <f>IF($C$66&lt;&gt;"",VLOOKUP($M$15,Capaian1!$B$5:$CT$44,64,0),"")</f>
        <v>3.3879999999999995</v>
      </c>
      <c r="F66" s="349" t="str">
        <f>IF(E66&lt;&gt;"",IF(E66&lt;=1.17,"D",IF(E66&lt;=1.5,"D+",IF(E66&lt;=1.84,"C-",IF(E66&lt;=2.17,"C",IF(E66&lt;=2.5,"C+",IF(E66&lt;=2.84,"B-",IF(E66&lt;=3.17,"B",IF(E66&lt;=3.5,"B+",IF(E66&lt;=3.84,"A-","A"))))))))),"")</f>
        <v>B+</v>
      </c>
      <c r="G66" s="271">
        <f>IF($C$66&lt;&gt;"",VLOOKUP($M$15,Capaian1!$B$5:$CT$44,65,0),"")</f>
        <v>3.4019999999999997</v>
      </c>
      <c r="H66" s="349" t="str">
        <f>IF(G66&lt;&gt;"",IF(G66&lt;=1.17,"D",IF(G66&lt;=1.5,"D+",IF(G66&lt;=1.84,"C-",IF(G66&lt;=2.17,"C",IF(G66&lt;=2.5,"C+",IF(G66&lt;=2.84,"B-",IF(G66&lt;=3.17,"B",IF(G66&lt;=3.5,"B+",IF(G66&lt;=3.84,"A-","A"))))))))),"")</f>
        <v>B+</v>
      </c>
      <c r="I66" s="271" t="str">
        <f>IF($C$66&lt;&gt;"",VLOOKUP($M$15,Capaian1!$B$5:$CT$44,66,0),"")</f>
        <v>B</v>
      </c>
      <c r="J66" s="283"/>
      <c r="K66" s="22"/>
    </row>
    <row r="67" spans="2:15" ht="27" customHeight="1" x14ac:dyDescent="0.25">
      <c r="B67" s="65"/>
      <c r="C67" s="483" t="str">
        <f>IF(C66&lt;&gt;"","Nama Guru : "&amp;Mata_Pelajaran!G26,"")</f>
        <v>Nama Guru : Ronny Noor R S.T</v>
      </c>
      <c r="D67" s="484"/>
      <c r="E67" s="275"/>
      <c r="F67" s="276"/>
      <c r="G67" s="275"/>
      <c r="H67" s="276"/>
      <c r="I67" s="275"/>
      <c r="J67" s="283"/>
      <c r="K67" s="22"/>
    </row>
    <row r="68" spans="2:15" s="25" customFormat="1" ht="18" hidden="1" customHeight="1" x14ac:dyDescent="0.25">
      <c r="B68" s="278" t="s">
        <v>134</v>
      </c>
      <c r="C68" s="459" t="s">
        <v>135</v>
      </c>
      <c r="D68" s="459"/>
      <c r="E68" s="459"/>
      <c r="F68" s="459"/>
      <c r="G68" s="459"/>
      <c r="H68" s="459"/>
      <c r="I68" s="459"/>
      <c r="J68" s="454"/>
      <c r="K68" s="31"/>
      <c r="O68" s="21">
        <f>IF(Peserta_Didik!C33&lt;&gt;"",Peserta_Didik!B33,"")</f>
        <v>31</v>
      </c>
    </row>
    <row r="69" spans="2:15" s="25" customFormat="1" ht="27" hidden="1" customHeight="1" x14ac:dyDescent="0.25">
      <c r="B69" s="70">
        <v>1</v>
      </c>
      <c r="C69" s="460" t="str">
        <f>IF(Mata_Pelajaran!D27&lt;&gt;"",Mata_Pelajaran!D27,"")</f>
        <v/>
      </c>
      <c r="D69" s="461"/>
      <c r="E69" s="271" t="str">
        <f>IF($C$69&lt;&gt;"",VLOOKUP($M$15,Capaian1!$B$5:$CT$44,67,0),"")</f>
        <v/>
      </c>
      <c r="F69" s="270" t="str">
        <f>IF(E69&lt;&gt;"",IF(E69&lt;1.33,"D",IF(E69&lt;1.67,"D+",IF(E69&lt;2,"C-",IF(E69&lt;2.33,"C",IF(E69&lt;2.67,"C+",IF(E69&lt;3,"B-",IF(E69&lt;3.33,"B",IF(E69&lt;3.67,"B+",IF(E69&lt;4,"A-","A"))))))))),"")</f>
        <v/>
      </c>
      <c r="G69" s="269" t="str">
        <f>IF($C$69&lt;&gt;"",VLOOKUP($M$15,Capaian1!$B$5:$CT$44,68,0),"")</f>
        <v/>
      </c>
      <c r="H69" s="270" t="str">
        <f>IF(G69&lt;&gt;"",IF(G69&lt;1.33,"D",IF(G69&lt;1.67,"D+",IF(G69&lt;2,"C-",IF(G69&lt;2.33,"C",IF(G69&lt;2.67,"C+",IF(G69&lt;3,"B-",IF(G69&lt;3.33,"B",IF(G69&lt;3.67,"B+",IF(G69&lt;4,"A-","A"))))))))),"")</f>
        <v/>
      </c>
      <c r="I69" s="304" t="str">
        <f>IF($C$69&lt;&gt;"",VLOOKUP($M$15,Capaian1!$B$5:$CT$44,69,0),"")</f>
        <v/>
      </c>
      <c r="J69" s="454"/>
      <c r="K69" s="31"/>
      <c r="O69" s="21">
        <f>IF(Peserta_Didik!C34&lt;&gt;"",Peserta_Didik!B34,"")</f>
        <v>32</v>
      </c>
    </row>
    <row r="70" spans="2:15" s="25" customFormat="1" ht="27" hidden="1" customHeight="1" x14ac:dyDescent="0.25">
      <c r="B70" s="55"/>
      <c r="C70" s="479" t="str">
        <f>IF(C69&lt;&gt;"","Nama Guru : "&amp;Mata_Pelajaran!G27,"")</f>
        <v/>
      </c>
      <c r="D70" s="480"/>
      <c r="E70" s="267"/>
      <c r="F70" s="268"/>
      <c r="G70" s="267"/>
      <c r="H70" s="268"/>
      <c r="I70" s="267"/>
      <c r="J70" s="454"/>
      <c r="K70" s="31"/>
      <c r="O70" s="21"/>
    </row>
    <row r="71" spans="2:15" s="25" customFormat="1" ht="27" hidden="1" customHeight="1" x14ac:dyDescent="0.25">
      <c r="B71" s="62">
        <v>2</v>
      </c>
      <c r="C71" s="462" t="str">
        <f>IF(Mata_Pelajaran!D28&lt;&gt;"",Mata_Pelajaran!D28,"")</f>
        <v/>
      </c>
      <c r="D71" s="463"/>
      <c r="E71" s="271" t="str">
        <f>IF($C$71&lt;&gt;"",VLOOKUP($M$15,Capaian1!$B$5:$CT$44,70,0),"")</f>
        <v/>
      </c>
      <c r="F71" s="272" t="str">
        <f>IF(E71&lt;&gt;"",IF(E71&lt;1.33,"D",IF(E71&lt;1.67,"D+",IF(E71&lt;2,"C-",IF(E71&lt;2.33,"C",IF(E71&lt;2.67,"C+",IF(E71&lt;3,"B-",IF(E71&lt;3.33,"B",IF(E71&lt;3.67,"B+",IF(E71&lt;4,"A-","A"))))))))),"")</f>
        <v/>
      </c>
      <c r="G71" s="271" t="str">
        <f>IF($C$71&lt;&gt;"",VLOOKUP($M$15,Capaian1!$B$5:$CT$44,71,0),"")</f>
        <v/>
      </c>
      <c r="H71" s="272" t="str">
        <f>IF(G71&lt;&gt;"",IF(G71&lt;1.33,"D",IF(G71&lt;1.67,"D+",IF(G71&lt;2,"C-",IF(G71&lt;2.33,"C",IF(G71&lt;2.67,"C+",IF(G71&lt;3,"B-",IF(G71&lt;3.33,"B",IF(G71&lt;3.67,"B+",IF(G71&lt;4,"A-","A"))))))))),"")</f>
        <v/>
      </c>
      <c r="I71" s="305" t="str">
        <f>IF($C$71&lt;&gt;"",VLOOKUP($M$15,Capaian1!$B$5:$CT$44,72,0),"")</f>
        <v/>
      </c>
      <c r="J71" s="454"/>
      <c r="K71" s="31"/>
      <c r="O71" s="21">
        <f>IF(Peserta_Didik!C35&lt;&gt;"",Peserta_Didik!B35,"")</f>
        <v>33</v>
      </c>
    </row>
    <row r="72" spans="2:15" s="25" customFormat="1" ht="27" hidden="1" customHeight="1" x14ac:dyDescent="0.25">
      <c r="B72" s="65"/>
      <c r="C72" s="479" t="str">
        <f>IF(C71&lt;&gt;"","Nama Guru : "&amp;Mata_Pelajaran!G28,"")</f>
        <v/>
      </c>
      <c r="D72" s="480"/>
      <c r="E72" s="275"/>
      <c r="F72" s="276"/>
      <c r="G72" s="275"/>
      <c r="H72" s="276"/>
      <c r="I72" s="275"/>
      <c r="J72" s="454"/>
      <c r="K72" s="31"/>
      <c r="O72" s="21"/>
    </row>
    <row r="73" spans="2:15" s="25" customFormat="1" ht="27" hidden="1" customHeight="1" x14ac:dyDescent="0.25">
      <c r="B73" s="62">
        <v>3</v>
      </c>
      <c r="C73" s="462" t="str">
        <f>IF(Mata_Pelajaran!D29&lt;&gt;"",Mata_Pelajaran!D29,"")</f>
        <v/>
      </c>
      <c r="D73" s="463"/>
      <c r="E73" s="271" t="str">
        <f>IF($C$73&lt;&gt;"",VLOOKUP($M$15,Capaian1!$B$5:$CT$44,73,0),"")</f>
        <v/>
      </c>
      <c r="F73" s="272" t="str">
        <f>IF(E73&lt;&gt;"",IF(E73&lt;1.33,"D",IF(E73&lt;1.67,"D+",IF(E73&lt;2,"C-",IF(E73&lt;2.33,"C",IF(E73&lt;2.67,"C+",IF(E73&lt;3,"B-",IF(E73&lt;3.33,"B",IF(E73&lt;3.67,"B+",IF(E73&lt;4,"A-","A"))))))))),"")</f>
        <v/>
      </c>
      <c r="G73" s="271" t="str">
        <f>IF($C$73&lt;&gt;"",VLOOKUP($M$15,Capaian1!$B$5:$CT$44,74,0),"")</f>
        <v/>
      </c>
      <c r="H73" s="272" t="str">
        <f>IF(G73&lt;&gt;"",IF(G73&lt;1.33,"D",IF(G73&lt;1.67,"D+",IF(G73&lt;2,"C-",IF(G73&lt;2.33,"C",IF(G73&lt;2.67,"C+",IF(G73&lt;3,"B-",IF(G73&lt;3.33,"B",IF(G73&lt;3.67,"B+",IF(G73&lt;4,"A-","A"))))))))),"")</f>
        <v/>
      </c>
      <c r="I73" s="305" t="str">
        <f>IF($C$73&lt;&gt;"",VLOOKUP($M$15,Capaian1!$B$5:$CT$44,75,0),"")</f>
        <v/>
      </c>
      <c r="J73" s="454"/>
      <c r="K73" s="31"/>
      <c r="O73" s="21"/>
    </row>
    <row r="74" spans="2:15" s="25" customFormat="1" ht="27" hidden="1" customHeight="1" x14ac:dyDescent="0.25">
      <c r="B74" s="65"/>
      <c r="C74" s="479" t="str">
        <f>IF(C73&lt;&gt;"","Nama Guru : "&amp;Mata_Pelajaran!G29,"")</f>
        <v/>
      </c>
      <c r="D74" s="480"/>
      <c r="E74" s="275"/>
      <c r="F74" s="276"/>
      <c r="G74" s="275"/>
      <c r="H74" s="276"/>
      <c r="I74" s="275"/>
      <c r="J74" s="454"/>
      <c r="K74" s="31"/>
      <c r="O74" s="21"/>
    </row>
    <row r="75" spans="2:15" s="25" customFormat="1" ht="27" hidden="1" customHeight="1" x14ac:dyDescent="0.25">
      <c r="B75" s="62">
        <v>4</v>
      </c>
      <c r="C75" s="462" t="str">
        <f>IF(Mata_Pelajaran!D30&lt;&gt;"",Mata_Pelajaran!D30,"")</f>
        <v/>
      </c>
      <c r="D75" s="463"/>
      <c r="E75" s="271" t="str">
        <f>IF($C$75&lt;&gt;"",VLOOKUP($M$15,Capaian1!$B$5:$CT$44,76,0),"")</f>
        <v/>
      </c>
      <c r="F75" s="272" t="str">
        <f>IF(E75&lt;&gt;"",IF(E75&lt;1.33,"D",IF(E75&lt;1.67,"D+",IF(E75&lt;2,"C-",IF(E75&lt;2.33,"C",IF(E75&lt;2.67,"C+",IF(E75&lt;3,"B-",IF(E75&lt;3.33,"B",IF(E75&lt;3.67,"B+",IF(E75&lt;4,"A-","A"))))))))),"")</f>
        <v/>
      </c>
      <c r="G75" s="271" t="str">
        <f>IF($C$75&lt;&gt;"",VLOOKUP($M$15,Capaian1!$B$5:$CT$44,77,0),"")</f>
        <v/>
      </c>
      <c r="H75" s="272" t="str">
        <f>IF(G75&lt;&gt;"",IF(G75&lt;1.33,"D",IF(G75&lt;1.67,"D+",IF(G75&lt;2,"C-",IF(G75&lt;2.33,"C",IF(G75&lt;2.67,"C+",IF(G75&lt;3,"B-",IF(G75&lt;3.33,"B",IF(G75&lt;3.67,"B+",IF(G75&lt;4,"A-","A"))))))))),"")</f>
        <v/>
      </c>
      <c r="I75" s="305" t="str">
        <f>IF($C$75&lt;&gt;"",VLOOKUP($M$15,Capaian1!$B$5:$CT$44,78,0),"")</f>
        <v/>
      </c>
      <c r="J75" s="454"/>
      <c r="K75" s="31"/>
      <c r="O75" s="21"/>
    </row>
    <row r="76" spans="2:15" s="25" customFormat="1" ht="27" hidden="1" customHeight="1" x14ac:dyDescent="0.25">
      <c r="B76" s="65"/>
      <c r="C76" s="479" t="str">
        <f>IF(C75&lt;&gt;"","Nama Guru : "&amp;Mata_Pelajaran!G30,"")</f>
        <v/>
      </c>
      <c r="D76" s="480"/>
      <c r="E76" s="275"/>
      <c r="F76" s="276"/>
      <c r="G76" s="275"/>
      <c r="H76" s="276"/>
      <c r="I76" s="275"/>
      <c r="J76" s="454"/>
      <c r="K76" s="31"/>
      <c r="O76" s="21"/>
    </row>
    <row r="77" spans="2:15" s="25" customFormat="1" ht="27" hidden="1" customHeight="1" x14ac:dyDescent="0.25">
      <c r="B77" s="62">
        <v>5</v>
      </c>
      <c r="C77" s="462" t="str">
        <f>IF(Mata_Pelajaran!D31&lt;&gt;"",Mata_Pelajaran!D31,"")</f>
        <v/>
      </c>
      <c r="D77" s="463"/>
      <c r="E77" s="271" t="str">
        <f>IF($C$77&lt;&gt;"",VLOOKUP($M$15,Capaian1!$B$5:$CT$44,79,0),"")</f>
        <v/>
      </c>
      <c r="F77" s="272" t="str">
        <f>IF(E77&lt;&gt;"",IF(E77&lt;1.33,"D",IF(E77&lt;1.67,"D+",IF(E77&lt;2,"C-",IF(E77&lt;2.33,"C",IF(E77&lt;2.67,"C+",IF(E77&lt;3,"B-",IF(E77&lt;3.33,"B",IF(E77&lt;3.67,"B+",IF(E77&lt;4,"A-","A"))))))))),"")</f>
        <v/>
      </c>
      <c r="G77" s="271" t="str">
        <f>IF($C$77&lt;&gt;"",VLOOKUP($M$15,Capaian1!$B$5:$CT$44,80,0),"")</f>
        <v/>
      </c>
      <c r="H77" s="272" t="str">
        <f>IF(G77&lt;&gt;"",IF(G77&lt;1.33,"D",IF(G77&lt;1.67,"D+",IF(G77&lt;2,"C-",IF(G77&lt;2.33,"C",IF(G77&lt;2.67,"C+",IF(G77&lt;3,"B-",IF(G77&lt;3.33,"B",IF(G77&lt;3.67,"B+",IF(G77&lt;4,"A-","A"))))))))),"")</f>
        <v/>
      </c>
      <c r="I77" s="305" t="str">
        <f>IF($C$77&lt;&gt;"",VLOOKUP($M$15,Capaian1!$B$5:$CT$44,81,0),"")</f>
        <v/>
      </c>
      <c r="J77" s="454"/>
      <c r="K77" s="31"/>
      <c r="O77" s="21"/>
    </row>
    <row r="78" spans="2:15" s="25" customFormat="1" ht="27" hidden="1" customHeight="1" x14ac:dyDescent="0.25">
      <c r="B78" s="65"/>
      <c r="C78" s="479" t="str">
        <f>IF(C77&lt;&gt;"","Nama Guru : "&amp;Mata_Pelajaran!G31,"")</f>
        <v/>
      </c>
      <c r="D78" s="480"/>
      <c r="E78" s="275"/>
      <c r="F78" s="276"/>
      <c r="G78" s="275"/>
      <c r="H78" s="276"/>
      <c r="I78" s="275"/>
      <c r="J78" s="454"/>
      <c r="K78" s="31"/>
      <c r="O78" s="21"/>
    </row>
    <row r="79" spans="2:15" s="25" customFormat="1" ht="27" hidden="1" customHeight="1" x14ac:dyDescent="0.25">
      <c r="B79" s="62">
        <v>6</v>
      </c>
      <c r="C79" s="462" t="str">
        <f>IF(Mata_Pelajaran!D32&lt;&gt;"",Mata_Pelajaran!D32,"")</f>
        <v/>
      </c>
      <c r="D79" s="463"/>
      <c r="E79" s="271" t="str">
        <f>IF($C$79&lt;&gt;"",VLOOKUP($M$15,Capaian1!$B$5:$CT$44,82,0),"")</f>
        <v/>
      </c>
      <c r="F79" s="272" t="str">
        <f>IF(E79&lt;&gt;"",IF(E79&lt;1.33,"D",IF(E79&lt;1.67,"D+",IF(E79&lt;2,"C-",IF(E79&lt;2.33,"C",IF(E79&lt;2.67,"C+",IF(E79&lt;3,"B-",IF(E79&lt;3.33,"B",IF(E79&lt;3.67,"B+",IF(E79&lt;4,"A-","A"))))))))),"")</f>
        <v/>
      </c>
      <c r="G79" s="271" t="str">
        <f>IF($C$79&lt;&gt;"",VLOOKUP($M$15,Capaian1!$B$5:$CT$44,83,0),"")</f>
        <v/>
      </c>
      <c r="H79" s="272" t="str">
        <f>IF(G79&lt;&gt;"",IF(G79&lt;1.33,"D",IF(G79&lt;1.67,"D+",IF(G79&lt;2,"C-",IF(G79&lt;2.33,"C",IF(G79&lt;2.67,"C+",IF(G79&lt;3,"B-",IF(G79&lt;3.33,"B",IF(G79&lt;3.67,"B+",IF(G79&lt;4,"A-","A"))))))))),"")</f>
        <v/>
      </c>
      <c r="I79" s="305" t="str">
        <f>IF($C$79&lt;&gt;"",VLOOKUP($M$15,Capaian1!$B$5:$CT$44,84,0),"")</f>
        <v/>
      </c>
      <c r="J79" s="454"/>
      <c r="K79" s="31"/>
      <c r="O79" s="21"/>
    </row>
    <row r="80" spans="2:15" s="25" customFormat="1" ht="27" hidden="1" customHeight="1" x14ac:dyDescent="0.25">
      <c r="B80" s="65"/>
      <c r="C80" s="479" t="str">
        <f>IF(C79&lt;&gt;"","Nama Guru : "&amp;Mata_Pelajaran!G32,"")</f>
        <v/>
      </c>
      <c r="D80" s="480"/>
      <c r="E80" s="275"/>
      <c r="F80" s="276"/>
      <c r="G80" s="275"/>
      <c r="H80" s="276"/>
      <c r="I80" s="275"/>
      <c r="J80" s="454"/>
      <c r="K80" s="31"/>
      <c r="O80" s="21"/>
    </row>
    <row r="81" spans="1:15" s="25" customFormat="1" ht="27" customHeight="1" x14ac:dyDescent="0.25">
      <c r="B81" s="489" t="s">
        <v>199</v>
      </c>
      <c r="C81" s="490"/>
      <c r="D81" s="490"/>
      <c r="E81" s="490"/>
      <c r="F81" s="490"/>
      <c r="G81" s="490"/>
      <c r="H81" s="490"/>
      <c r="I81" s="491"/>
      <c r="J81" s="454"/>
      <c r="K81" s="31"/>
      <c r="O81" s="21"/>
    </row>
    <row r="82" spans="1:15" ht="27" customHeight="1" x14ac:dyDescent="0.25">
      <c r="B82" s="62">
        <v>1</v>
      </c>
      <c r="C82" s="462" t="str">
        <f>IF(Mata_Pelajaran!D34&lt;&gt;"",Mata_Pelajaran!D34,"")</f>
        <v xml:space="preserve">Pendidikan Lingkungan Hidup </v>
      </c>
      <c r="D82" s="463"/>
      <c r="E82" s="271">
        <f>IF($C$82&lt;&gt;"",VLOOKUP($M$15,Capaian1!$B$5:$CT$44,85,0),"")</f>
        <v>3.4066666666666663</v>
      </c>
      <c r="F82" s="349" t="str">
        <f>IF(E82&lt;&gt;"",IF(E82&lt;=1.17,"D",IF(E82&lt;=1.5,"D+",IF(E82&lt;=1.84,"C-",IF(E82&lt;=2.17,"C",IF(E82&lt;=2.5,"C+",IF(E82&lt;=2.84,"B-",IF(E82&lt;=3.17,"B",IF(E82&lt;=3.5,"B+",IF(E82&lt;=3.84,"A-","A"))))))))),"")</f>
        <v>B+</v>
      </c>
      <c r="G82" s="271">
        <f>IF($C$82&lt;&gt;"",VLOOKUP($M$15,Capaian1!$B$5:$CT$44,86,0),"")</f>
        <v>3.7</v>
      </c>
      <c r="H82" s="349" t="str">
        <f>IF(G82&lt;&gt;"",IF(G82&lt;=1.17,"D",IF(G82&lt;=1.5,"D+",IF(G82&lt;=1.84,"C-",IF(G82&lt;=2.17,"C",IF(G82&lt;=2.5,"C+",IF(G82&lt;=2.84,"B-",IF(G82&lt;=3.17,"B",IF(G82&lt;=3.5,"B+",IF(G82&lt;=3.84,"A-","A"))))))))),"")</f>
        <v>A-</v>
      </c>
      <c r="I82" s="305" t="str">
        <f>IF($C$82&lt;&gt;"",VLOOKUP($M$15,Capaian1!$B$5:$CT$44,87,0),"")</f>
        <v>B</v>
      </c>
      <c r="J82" s="454"/>
      <c r="K82" s="22"/>
      <c r="O82" s="21">
        <f>IF(Peserta_Didik!C36&lt;&gt;"",Peserta_Didik!B36,"")</f>
        <v>34</v>
      </c>
    </row>
    <row r="83" spans="1:15" s="25" customFormat="1" ht="27" customHeight="1" x14ac:dyDescent="0.25">
      <c r="B83" s="65"/>
      <c r="C83" s="479" t="str">
        <f>IF(C82&lt;&gt;"","Nama Guru : "&amp;Mata_Pelajaran!G34,"")</f>
        <v>Nama Guru : Guru 28</v>
      </c>
      <c r="D83" s="480"/>
      <c r="E83" s="275"/>
      <c r="F83" s="276"/>
      <c r="G83" s="275"/>
      <c r="H83" s="276"/>
      <c r="I83" s="275"/>
      <c r="J83" s="69"/>
      <c r="K83" s="31"/>
      <c r="O83" s="21"/>
    </row>
    <row r="84" spans="1:15" s="25" customFormat="1" ht="27" customHeight="1" x14ac:dyDescent="0.25">
      <c r="B84" s="70">
        <v>2</v>
      </c>
      <c r="C84" s="460">
        <f>Mata_Pelajaran!D35</f>
        <v>0</v>
      </c>
      <c r="D84" s="461"/>
      <c r="E84" s="269">
        <f>IF($C$84&lt;&gt;"",VLOOKUP($M$15,Capaian1!$B$5:$CT$44,88,0),"")</f>
        <v>0</v>
      </c>
      <c r="F84" s="349" t="str">
        <f>IF(E84&lt;&gt;"",IF(E84&lt;=1.17,"D",IF(E84&lt;=1.5,"D+",IF(E84&lt;=1.84,"C-",IF(E84&lt;=2.17,"C",IF(E84&lt;=2.5,"C+",IF(E84&lt;=2.84,"B-",IF(E84&lt;=3.17,"B",IF(E84&lt;=3.5,"B+",IF(E84&lt;=3.84,"A-","A"))))))))),"")</f>
        <v>D</v>
      </c>
      <c r="G84" s="269">
        <f>IF($C$84&lt;&gt;"",VLOOKUP($M$15,Capaian1!$B$5:$CT$44,89,0),"")</f>
        <v>0</v>
      </c>
      <c r="H84" s="349" t="str">
        <f>IF(G84&lt;&gt;"",IF(G84&lt;=1.17,"D",IF(G84&lt;=1.5,"D+",IF(G84&lt;=1.84,"C-",IF(G84&lt;=2.17,"C",IF(G84&lt;=2.5,"C+",IF(G84&lt;=2.84,"B-",IF(G84&lt;=3.17,"B",IF(G84&lt;=3.5,"B+",IF(G84&lt;=3.84,"A-","A"))))))))),"")</f>
        <v>D</v>
      </c>
      <c r="I84" s="304">
        <f>IF($C$84&lt;&gt;"",VLOOKUP($M$15,Capaian1!$B$5:$CT$44,90,0),"")</f>
        <v>0</v>
      </c>
      <c r="J84" s="259"/>
      <c r="K84" s="31"/>
      <c r="O84" s="21">
        <f>IF(Peserta_Didik!C38&lt;&gt;"",Peserta_Didik!B38,"")</f>
        <v>36</v>
      </c>
    </row>
    <row r="85" spans="1:15" s="25" customFormat="1" ht="27" customHeight="1" x14ac:dyDescent="0.25">
      <c r="B85" s="71"/>
      <c r="C85" s="483" t="str">
        <f>IF(C84&lt;&gt;"","Nama Guru : "&amp;Mata_Pelajaran!G35,"")</f>
        <v>Nama Guru : Guru 29</v>
      </c>
      <c r="D85" s="484"/>
      <c r="E85" s="273"/>
      <c r="F85" s="274"/>
      <c r="G85" s="273"/>
      <c r="H85" s="274"/>
      <c r="I85" s="273"/>
      <c r="J85" s="69"/>
      <c r="K85" s="31"/>
      <c r="O85" s="21"/>
    </row>
    <row r="86" spans="1:15" x14ac:dyDescent="0.25">
      <c r="O86" s="21">
        <f>IF(Peserta_Didik!C37&lt;&gt;"",Peserta_Didik!B37,"")</f>
        <v>35</v>
      </c>
    </row>
    <row r="87" spans="1:15" s="38" customFormat="1" ht="18" customHeight="1" x14ac:dyDescent="0.25">
      <c r="A87" s="36"/>
      <c r="B87" s="492" t="s">
        <v>165</v>
      </c>
      <c r="C87" s="493"/>
      <c r="D87" s="494"/>
      <c r="E87" s="37" t="s">
        <v>118</v>
      </c>
      <c r="F87" s="492" t="s">
        <v>166</v>
      </c>
      <c r="G87" s="493"/>
      <c r="H87" s="493"/>
      <c r="I87" s="493"/>
      <c r="J87" s="494"/>
      <c r="O87" s="21">
        <f>IF(Peserta_Didik!C38&lt;&gt;"",Peserta_Didik!B38,"")</f>
        <v>36</v>
      </c>
    </row>
    <row r="88" spans="1:15" s="25" customFormat="1" ht="39.950000000000003" customHeight="1" x14ac:dyDescent="0.25">
      <c r="A88" s="20"/>
      <c r="B88" s="42">
        <v>1</v>
      </c>
      <c r="C88" s="495" t="e">
        <f>IF(VLOOKUP($M$15,Capaian1!$B$5:$CT$44,91,0)="--","",VLOOKUP(VLOOKUP($M$15,Capaian1!$B$5:$CT$44,91,0),Mata_Pelajaran!$E$38:$H$62,4,0))</f>
        <v>#N/A</v>
      </c>
      <c r="D88" s="496"/>
      <c r="E88" s="29" t="e">
        <f>IF($C$88&lt;&gt;"",VLOOKUP($M$15,Capaian1!$B$5:$CT$44,92,0),"")</f>
        <v>#N/A</v>
      </c>
      <c r="F88" s="495" t="e">
        <f>IF($C$88&lt;&gt;"",VLOOKUP($M$15,Deskripsi1!$B$6:$CP$45,92,0),"")</f>
        <v>#N/A</v>
      </c>
      <c r="G88" s="499"/>
      <c r="H88" s="499"/>
      <c r="I88" s="499"/>
      <c r="J88" s="496"/>
      <c r="O88" s="21">
        <f>IF(Peserta_Didik!C39&lt;&gt;"",Peserta_Didik!B39,"")</f>
        <v>37</v>
      </c>
    </row>
    <row r="89" spans="1:15" s="25" customFormat="1" ht="39.950000000000003" customHeight="1" x14ac:dyDescent="0.25">
      <c r="A89" s="20"/>
      <c r="B89" s="265">
        <v>2</v>
      </c>
      <c r="C89" s="497" t="e">
        <f>IF(VLOOKUP($M$15,Capaian1!$B$5:$CT$44,93,0)="--","",VLOOKUP(VLOOKUP($M$15,Capaian1!$B$5:$CT$44,93,0),Mata_Pelajaran!$E$38:$H$62,4,0))</f>
        <v>#N/A</v>
      </c>
      <c r="D89" s="498"/>
      <c r="E89" s="30" t="e">
        <f>IF($C$89&lt;&gt;"",VLOOKUP($M$15,Capaian1!$B$5:$CT$44,94,0),"")</f>
        <v>#N/A</v>
      </c>
      <c r="F89" s="497" t="e">
        <f>IF($C$89&lt;&gt;"",VLOOKUP($M$15,Deskripsi1!$B$6:$CP$45,93,0),"")</f>
        <v>#N/A</v>
      </c>
      <c r="G89" s="500"/>
      <c r="H89" s="500"/>
      <c r="I89" s="500"/>
      <c r="J89" s="498"/>
      <c r="O89" s="21">
        <f>IF(Peserta_Didik!C40&lt;&gt;"",Peserta_Didik!B40,"")</f>
        <v>38</v>
      </c>
    </row>
    <row r="91" spans="1:15" ht="17.100000000000001" customHeight="1" x14ac:dyDescent="0.25">
      <c r="B91" s="492" t="s">
        <v>167</v>
      </c>
      <c r="C91" s="493"/>
      <c r="D91" s="493"/>
      <c r="E91" s="494"/>
    </row>
    <row r="92" spans="1:15" ht="17.100000000000001" customHeight="1" x14ac:dyDescent="0.25">
      <c r="B92" s="100"/>
      <c r="C92" s="76" t="s">
        <v>168</v>
      </c>
      <c r="D92" s="76" t="str">
        <f>": "&amp;VLOOKUP($M$15,Capaian1!$B$5:$CT$44,95,0)&amp;"   hari"</f>
        <v>: 3   hari</v>
      </c>
      <c r="E92" s="101"/>
    </row>
    <row r="93" spans="1:15" ht="17.100000000000001" customHeight="1" x14ac:dyDescent="0.25">
      <c r="B93" s="102"/>
      <c r="C93" s="77" t="s">
        <v>170</v>
      </c>
      <c r="D93" s="77" t="str">
        <f>": "&amp;VLOOKUP($M$15,Capaian1!$B$5:$CT$44,96,0)&amp;"   hari"</f>
        <v>: 1   hari</v>
      </c>
      <c r="E93" s="103"/>
    </row>
    <row r="94" spans="1:15" ht="17.100000000000001" customHeight="1" x14ac:dyDescent="0.25">
      <c r="B94" s="104"/>
      <c r="C94" s="105" t="s">
        <v>169</v>
      </c>
      <c r="D94" s="105" t="str">
        <f>": "&amp;VLOOKUP($M$15,Capaian1!$B$5:$CT$44,97,0)&amp;"   hari"</f>
        <v>: 0   hari</v>
      </c>
      <c r="E94" s="106"/>
    </row>
    <row r="95" spans="1:15" ht="17.100000000000001" customHeight="1" x14ac:dyDescent="0.25">
      <c r="B95" s="39"/>
      <c r="C95" s="40"/>
      <c r="D95" s="40"/>
      <c r="E95" s="41"/>
    </row>
    <row r="96" spans="1:15" ht="17.100000000000001" customHeight="1" x14ac:dyDescent="0.25">
      <c r="B96" s="39"/>
      <c r="C96" s="40"/>
      <c r="D96" s="40"/>
      <c r="E96" s="41"/>
    </row>
    <row r="98" spans="3:8" x14ac:dyDescent="0.25">
      <c r="C98" s="26" t="s">
        <v>171</v>
      </c>
      <c r="H98" t="str">
        <f>Informasi_Rapot!C29</f>
        <v>Baleendah, 20 Juni 2015</v>
      </c>
    </row>
    <row r="99" spans="3:8" x14ac:dyDescent="0.25">
      <c r="C99" s="26" t="s">
        <v>172</v>
      </c>
      <c r="H99" t="s">
        <v>173</v>
      </c>
    </row>
    <row r="103" spans="3:8" x14ac:dyDescent="0.25">
      <c r="C103" s="486" t="s">
        <v>174</v>
      </c>
      <c r="D103" s="486"/>
      <c r="H103" t="str">
        <f>Informasi_Rapot!C22</f>
        <v>Iis Tarliah, S.Pd</v>
      </c>
    </row>
    <row r="104" spans="3:8" x14ac:dyDescent="0.25">
      <c r="H104" t="str">
        <f>"NIP "&amp;Informasi_Rapot!C23</f>
        <v>NIP 196509031991032004</v>
      </c>
    </row>
  </sheetData>
  <sheetProtection selectLockedCells="1"/>
  <mergeCells count="95">
    <mergeCell ref="B2:J2"/>
    <mergeCell ref="B3:J3"/>
    <mergeCell ref="B4:J4"/>
    <mergeCell ref="B5:J5"/>
    <mergeCell ref="B6:J6"/>
    <mergeCell ref="B7:J7"/>
    <mergeCell ref="C73:D73"/>
    <mergeCell ref="C74:D74"/>
    <mergeCell ref="C75:D75"/>
    <mergeCell ref="C76:D76"/>
    <mergeCell ref="C65:D65"/>
    <mergeCell ref="C70:D70"/>
    <mergeCell ref="C72:D72"/>
    <mergeCell ref="C71:D71"/>
    <mergeCell ref="C49:D49"/>
    <mergeCell ref="C50:D50"/>
    <mergeCell ref="C51:D51"/>
    <mergeCell ref="C52:D52"/>
    <mergeCell ref="C53:D53"/>
    <mergeCell ref="C54:D54"/>
    <mergeCell ref="C66:D66"/>
    <mergeCell ref="B81:I81"/>
    <mergeCell ref="C79:D79"/>
    <mergeCell ref="C80:D80"/>
    <mergeCell ref="C77:D77"/>
    <mergeCell ref="C78:D78"/>
    <mergeCell ref="C67:D67"/>
    <mergeCell ref="C48:D48"/>
    <mergeCell ref="C57:D57"/>
    <mergeCell ref="C59:D59"/>
    <mergeCell ref="C61:D61"/>
    <mergeCell ref="C63:D63"/>
    <mergeCell ref="C40:D40"/>
    <mergeCell ref="C36:D36"/>
    <mergeCell ref="C38:D38"/>
    <mergeCell ref="C44:D44"/>
    <mergeCell ref="C46:D46"/>
    <mergeCell ref="B91:E91"/>
    <mergeCell ref="C88:D88"/>
    <mergeCell ref="C89:D89"/>
    <mergeCell ref="F88:J88"/>
    <mergeCell ref="F89:J89"/>
    <mergeCell ref="B87:D87"/>
    <mergeCell ref="F87:J87"/>
    <mergeCell ref="C84:D84"/>
    <mergeCell ref="C83:D83"/>
    <mergeCell ref="C85:D85"/>
    <mergeCell ref="D11:F11"/>
    <mergeCell ref="C28:D28"/>
    <mergeCell ref="C103:D103"/>
    <mergeCell ref="C39:D39"/>
    <mergeCell ref="C62:D62"/>
    <mergeCell ref="C82:D82"/>
    <mergeCell ref="C45:D45"/>
    <mergeCell ref="C47:D47"/>
    <mergeCell ref="C58:D58"/>
    <mergeCell ref="C60:D60"/>
    <mergeCell ref="C56:D56"/>
    <mergeCell ref="C68:I68"/>
    <mergeCell ref="C64:D64"/>
    <mergeCell ref="C55:I55"/>
    <mergeCell ref="C43:D43"/>
    <mergeCell ref="C69:D69"/>
    <mergeCell ref="G17:H18"/>
    <mergeCell ref="I18:J18"/>
    <mergeCell ref="C24:D24"/>
    <mergeCell ref="C26:D26"/>
    <mergeCell ref="C22:D22"/>
    <mergeCell ref="I17:J17"/>
    <mergeCell ref="E19:F19"/>
    <mergeCell ref="G19:H19"/>
    <mergeCell ref="C23:D23"/>
    <mergeCell ref="C25:D25"/>
    <mergeCell ref="J22:J40"/>
    <mergeCell ref="I19:I20"/>
    <mergeCell ref="C27:D27"/>
    <mergeCell ref="C29:D29"/>
    <mergeCell ref="C31:D31"/>
    <mergeCell ref="C33:D33"/>
    <mergeCell ref="B9:J9"/>
    <mergeCell ref="J68:J82"/>
    <mergeCell ref="I13:J13"/>
    <mergeCell ref="I14:J14"/>
    <mergeCell ref="I11:J11"/>
    <mergeCell ref="B41:I41"/>
    <mergeCell ref="C42:I42"/>
    <mergeCell ref="C35:D35"/>
    <mergeCell ref="C37:D37"/>
    <mergeCell ref="B34:I34"/>
    <mergeCell ref="J19:J20"/>
    <mergeCell ref="B21:I21"/>
    <mergeCell ref="B17:D20"/>
    <mergeCell ref="C30:D30"/>
    <mergeCell ref="C32:D32"/>
    <mergeCell ref="E17:F18"/>
  </mergeCells>
  <dataValidations count="1">
    <dataValidation type="list" errorStyle="warning" allowBlank="1" showInputMessage="1" showErrorMessage="1" errorTitle="Peringatan" error="No. Absen tidak dikenal. _x000a_Silahkan klik tombol No untuk menghentikan proses dan membetulkan masukan No. Absen." sqref="M15">
      <formula1>$O$15:$O$89</formula1>
    </dataValidation>
  </dataValidations>
  <pageMargins left="0.70866141732283472" right="0.11811023622047245" top="0.59055118110236227" bottom="0.82677165354330717" header="0.31496062992125984" footer="0.59055118110236227"/>
  <pageSetup paperSize="5" scale="90" orientation="portrait" horizontalDpi="4294967293" verticalDpi="300" r:id="rId1"/>
  <rowBreaks count="2" manualBreakCount="2">
    <brk id="40" min="1" max="9" man="1"/>
    <brk id="67" min="1" max="9" man="1"/>
  </rowBreaks>
  <drawing r:id="rId2"/>
  <legacyDrawing r:id="rId3"/>
  <controls>
    <mc:AlternateContent xmlns:mc="http://schemas.openxmlformats.org/markup-compatibility/2006">
      <mc:Choice Requires="x14">
        <control shapeId="7170" r:id="rId4" name="CommandButton1">
          <controlPr defaultSize="0" autoFill="0" autoLine="0" r:id="rId5">
            <anchor moveWithCells="1">
              <from>
                <xdr:col>11</xdr:col>
                <xdr:colOff>47625</xdr:colOff>
                <xdr:row>17</xdr:row>
                <xdr:rowOff>47625</xdr:rowOff>
              </from>
              <to>
                <xdr:col>12</xdr:col>
                <xdr:colOff>371475</xdr:colOff>
                <xdr:row>19</xdr:row>
                <xdr:rowOff>19050</xdr:rowOff>
              </to>
            </anchor>
          </controlPr>
        </control>
      </mc:Choice>
      <mc:Fallback>
        <control shapeId="7170" r:id="rId4" name="CommandButton1"/>
      </mc:Fallback>
    </mc:AlternateContent>
    <mc:AlternateContent xmlns:mc="http://schemas.openxmlformats.org/markup-compatibility/2006">
      <mc:Choice Requires="x14">
        <control shapeId="7171" r:id="rId6" name="CommandButton2">
          <controlPr defaultSize="0" autoLine="0" r:id="rId7">
            <anchor moveWithCells="1">
              <from>
                <xdr:col>11</xdr:col>
                <xdr:colOff>57150</xdr:colOff>
                <xdr:row>19</xdr:row>
                <xdr:rowOff>190500</xdr:rowOff>
              </from>
              <to>
                <xdr:col>12</xdr:col>
                <xdr:colOff>352425</xdr:colOff>
                <xdr:row>21</xdr:row>
                <xdr:rowOff>85725</xdr:rowOff>
              </to>
            </anchor>
          </controlPr>
        </control>
      </mc:Choice>
      <mc:Fallback>
        <control shapeId="7171" r:id="rId6" name="Command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sheetPr>
  <dimension ref="A1:AF171"/>
  <sheetViews>
    <sheetView showGridLines="0" view="pageBreakPreview" topLeftCell="A58" zoomScaleNormal="80" zoomScaleSheetLayoutView="100" workbookViewId="0">
      <selection activeCell="J15" sqref="J15"/>
    </sheetView>
  </sheetViews>
  <sheetFormatPr defaultRowHeight="15" x14ac:dyDescent="0.25"/>
  <cols>
    <col min="1" max="1" width="3.42578125" customWidth="1"/>
    <col min="2" max="2" width="3.5703125" style="28" customWidth="1"/>
    <col min="3" max="3" width="18" style="53" customWidth="1"/>
    <col min="4" max="4" width="12.42578125" style="53" customWidth="1"/>
    <col min="5" max="5" width="17.42578125" customWidth="1"/>
    <col min="6" max="6" width="26.7109375" customWidth="1"/>
    <col min="7" max="7" width="23.28515625" customWidth="1"/>
    <col min="9" max="9" width="19" customWidth="1"/>
    <col min="12" max="12" width="9.140625" style="21"/>
  </cols>
  <sheetData>
    <row r="1" spans="1:32" x14ac:dyDescent="0.25">
      <c r="C1" s="306"/>
      <c r="D1" s="306"/>
    </row>
    <row r="2" spans="1:32" ht="15.75" x14ac:dyDescent="0.25">
      <c r="A2" s="504" t="s">
        <v>329</v>
      </c>
      <c r="B2" s="504"/>
      <c r="C2" s="504"/>
      <c r="D2" s="504"/>
      <c r="E2" s="504"/>
      <c r="F2" s="504"/>
      <c r="G2" s="504"/>
      <c r="H2" s="313"/>
      <c r="I2" s="313"/>
      <c r="J2" s="313"/>
      <c r="K2" s="313"/>
      <c r="L2" s="313"/>
      <c r="M2" s="313"/>
      <c r="N2" s="313"/>
      <c r="O2" s="313"/>
      <c r="P2" s="313"/>
    </row>
    <row r="3" spans="1:32" ht="15.75" x14ac:dyDescent="0.25">
      <c r="A3" s="504" t="s">
        <v>330</v>
      </c>
      <c r="B3" s="504"/>
      <c r="C3" s="504"/>
      <c r="D3" s="504"/>
      <c r="E3" s="504"/>
      <c r="F3" s="504"/>
      <c r="G3" s="504"/>
      <c r="H3" s="313"/>
      <c r="I3" s="313"/>
      <c r="J3" s="313"/>
      <c r="K3" s="313"/>
      <c r="L3" s="313"/>
      <c r="M3" s="313"/>
      <c r="N3" s="313"/>
      <c r="O3" s="313"/>
      <c r="P3" s="313"/>
    </row>
    <row r="4" spans="1:32" ht="22.5" x14ac:dyDescent="0.3">
      <c r="A4" s="505" t="s">
        <v>314</v>
      </c>
      <c r="B4" s="505"/>
      <c r="C4" s="505"/>
      <c r="D4" s="505"/>
      <c r="E4" s="505"/>
      <c r="F4" s="505"/>
      <c r="G4" s="505"/>
      <c r="H4" s="314"/>
      <c r="I4" s="314"/>
      <c r="J4" s="314"/>
      <c r="K4" s="314"/>
      <c r="L4" s="314"/>
      <c r="M4" s="314"/>
      <c r="N4" s="314"/>
      <c r="O4" s="314"/>
      <c r="P4" s="314"/>
    </row>
    <row r="5" spans="1:32" x14ac:dyDescent="0.25">
      <c r="A5" s="506" t="s">
        <v>331</v>
      </c>
      <c r="B5" s="506"/>
      <c r="C5" s="506"/>
      <c r="D5" s="506"/>
      <c r="E5" s="506"/>
      <c r="F5" s="506"/>
      <c r="G5" s="506"/>
      <c r="H5" s="312"/>
      <c r="I5" s="312"/>
      <c r="J5" s="312"/>
      <c r="K5" s="312"/>
      <c r="L5" s="312"/>
      <c r="M5" s="312"/>
      <c r="N5" s="312"/>
      <c r="O5" s="312"/>
      <c r="P5" s="312"/>
    </row>
    <row r="6" spans="1:32" x14ac:dyDescent="0.25">
      <c r="A6" s="506" t="s">
        <v>332</v>
      </c>
      <c r="B6" s="506"/>
      <c r="C6" s="506"/>
      <c r="D6" s="506"/>
      <c r="E6" s="506"/>
      <c r="F6" s="506"/>
      <c r="G6" s="506"/>
      <c r="H6" s="312"/>
      <c r="I6" s="312"/>
      <c r="J6" s="312"/>
      <c r="K6" s="312"/>
      <c r="L6" s="312"/>
      <c r="M6" s="312"/>
      <c r="N6" s="312"/>
      <c r="O6" s="312"/>
      <c r="P6" s="312"/>
    </row>
    <row r="7" spans="1:32" ht="15.75" thickBot="1" x14ac:dyDescent="0.3">
      <c r="A7" s="506" t="s">
        <v>333</v>
      </c>
      <c r="B7" s="503"/>
      <c r="C7" s="503"/>
      <c r="D7" s="503"/>
      <c r="E7" s="503"/>
      <c r="F7" s="503"/>
      <c r="G7" s="503"/>
      <c r="H7" s="312"/>
      <c r="I7" s="312"/>
      <c r="J7" s="312"/>
      <c r="K7" s="312"/>
      <c r="L7" s="312"/>
      <c r="M7" s="312"/>
      <c r="N7" s="312"/>
      <c r="O7" s="312"/>
      <c r="P7" s="312"/>
    </row>
    <row r="8" spans="1:32" ht="16.5" thickTop="1" thickBot="1" x14ac:dyDescent="0.3">
      <c r="A8" s="315"/>
    </row>
    <row r="9" spans="1:32" ht="18.75" thickTop="1" x14ac:dyDescent="0.25">
      <c r="B9" s="522" t="s">
        <v>335</v>
      </c>
      <c r="C9" s="522"/>
      <c r="D9" s="522"/>
      <c r="E9" s="522"/>
      <c r="F9" s="522"/>
      <c r="G9" s="522"/>
      <c r="H9" s="343"/>
      <c r="I9" s="343"/>
      <c r="J9" s="343"/>
      <c r="K9" s="343"/>
      <c r="L9" s="343"/>
      <c r="M9" s="343"/>
      <c r="Q9" s="504" t="s">
        <v>329</v>
      </c>
      <c r="R9" s="504"/>
      <c r="S9" s="504"/>
      <c r="T9" s="504"/>
      <c r="U9" s="504"/>
      <c r="V9" s="504"/>
      <c r="W9" s="504"/>
      <c r="X9" s="504"/>
      <c r="Y9" s="504"/>
      <c r="Z9" s="504"/>
      <c r="AA9" s="504"/>
      <c r="AB9" s="504"/>
      <c r="AC9" s="504"/>
      <c r="AD9" s="504"/>
      <c r="AE9" s="504"/>
      <c r="AF9" s="504"/>
    </row>
    <row r="10" spans="1:32" ht="10.5" customHeight="1" x14ac:dyDescent="0.25">
      <c r="B10" s="64"/>
      <c r="C10" s="64"/>
      <c r="D10" s="64"/>
      <c r="E10" s="64"/>
      <c r="F10" s="64"/>
      <c r="G10" s="64"/>
      <c r="Q10" s="504" t="s">
        <v>330</v>
      </c>
      <c r="R10" s="504"/>
      <c r="S10" s="504"/>
      <c r="T10" s="504"/>
      <c r="U10" s="504"/>
      <c r="V10" s="504"/>
      <c r="W10" s="504"/>
      <c r="X10" s="504"/>
      <c r="Y10" s="504"/>
      <c r="Z10" s="504"/>
      <c r="AA10" s="504"/>
      <c r="AB10" s="504"/>
      <c r="AC10" s="504"/>
      <c r="AD10" s="504"/>
      <c r="AE10" s="504"/>
      <c r="AF10" s="504"/>
    </row>
    <row r="11" spans="1:32" s="35" customFormat="1" ht="15" customHeight="1" x14ac:dyDescent="0.3">
      <c r="B11" s="32" t="s">
        <v>15</v>
      </c>
      <c r="C11" s="34"/>
      <c r="D11" s="485" t="str">
        <f>": "&amp;VLOOKUP(J15,Capaian1!B5:D44,3,0)</f>
        <v>: Gita Cahya Aulia</v>
      </c>
      <c r="E11" s="485"/>
      <c r="F11" s="35" t="s">
        <v>142</v>
      </c>
      <c r="G11" s="51" t="str">
        <f>": "&amp;VLOOKUP(J15,Capaian1!B5:D44,2,0)</f>
        <v>: 1314.10.118</v>
      </c>
      <c r="L11" s="54"/>
      <c r="Q11" s="505" t="s">
        <v>314</v>
      </c>
      <c r="R11" s="505"/>
      <c r="S11" s="505"/>
      <c r="T11" s="505"/>
      <c r="U11" s="505"/>
      <c r="V11" s="505"/>
      <c r="W11" s="505"/>
      <c r="X11" s="505"/>
      <c r="Y11" s="505"/>
      <c r="Z11" s="505"/>
      <c r="AA11" s="505"/>
      <c r="AB11" s="505"/>
      <c r="AC11" s="505"/>
      <c r="AD11" s="505"/>
      <c r="AE11" s="505"/>
      <c r="AF11" s="505"/>
    </row>
    <row r="12" spans="1:32" s="35" customFormat="1" ht="15" customHeight="1" x14ac:dyDescent="0.2">
      <c r="B12" s="32" t="s">
        <v>20</v>
      </c>
      <c r="C12" s="34"/>
      <c r="D12" s="43" t="str">
        <f>": "&amp;Informasi_Rapot!C16</f>
        <v>: Teknologi Informasi dan Komunikasi</v>
      </c>
      <c r="E12" s="43"/>
      <c r="L12" s="54"/>
      <c r="Q12" s="506" t="s">
        <v>331</v>
      </c>
      <c r="R12" s="506"/>
      <c r="S12" s="506"/>
      <c r="T12" s="506"/>
      <c r="U12" s="506"/>
      <c r="V12" s="506"/>
      <c r="W12" s="506"/>
      <c r="X12" s="506"/>
      <c r="Y12" s="506"/>
      <c r="Z12" s="506"/>
      <c r="AA12" s="506"/>
      <c r="AB12" s="506"/>
      <c r="AC12" s="506"/>
      <c r="AD12" s="506"/>
      <c r="AE12" s="506"/>
      <c r="AF12" s="506"/>
    </row>
    <row r="13" spans="1:32" s="35" customFormat="1" ht="15" customHeight="1" x14ac:dyDescent="0.2">
      <c r="B13" s="35" t="s">
        <v>21</v>
      </c>
      <c r="C13" s="34"/>
      <c r="D13" s="43" t="str">
        <f>": "&amp;Informasi_Rapot!C17</f>
        <v>: Teknik Komputer dan Informatika</v>
      </c>
      <c r="E13" s="43"/>
      <c r="F13" s="35" t="s">
        <v>22</v>
      </c>
      <c r="G13" s="51" t="str">
        <f>": "&amp;Informasi_Rapot!C18</f>
        <v>: Teknik Komputer dan Jaringan</v>
      </c>
      <c r="L13" s="54"/>
      <c r="Q13" s="506" t="s">
        <v>332</v>
      </c>
      <c r="R13" s="506"/>
      <c r="S13" s="506"/>
      <c r="T13" s="506"/>
      <c r="U13" s="506"/>
      <c r="V13" s="506"/>
      <c r="W13" s="506"/>
      <c r="X13" s="506"/>
      <c r="Y13" s="506"/>
      <c r="Z13" s="506"/>
      <c r="AA13" s="506"/>
      <c r="AB13" s="506"/>
      <c r="AC13" s="506"/>
      <c r="AD13" s="506"/>
      <c r="AE13" s="506"/>
      <c r="AF13" s="506"/>
    </row>
    <row r="14" spans="1:32" s="35" customFormat="1" ht="15" customHeight="1" thickBot="1" x14ac:dyDescent="0.25">
      <c r="B14" s="35" t="s">
        <v>100</v>
      </c>
      <c r="C14" s="34"/>
      <c r="D14" s="43" t="str">
        <f>": "&amp;Informasi_Rapot!C28</f>
        <v>: 2014/2015</v>
      </c>
      <c r="E14" s="43"/>
      <c r="F14" s="35" t="s">
        <v>143</v>
      </c>
      <c r="G14" s="51" t="str">
        <f>": "&amp;Informasi_Rapot!C26&amp;" / "&amp;Informasi_Rapot!C27</f>
        <v>: XI (sebelas) / 2 ( Dua )</v>
      </c>
      <c r="L14" s="54"/>
      <c r="Q14" s="503" t="s">
        <v>333</v>
      </c>
      <c r="R14" s="503"/>
      <c r="S14" s="503"/>
      <c r="T14" s="503"/>
      <c r="U14" s="503"/>
      <c r="V14" s="503"/>
      <c r="W14" s="503"/>
      <c r="X14" s="503"/>
      <c r="Y14" s="503"/>
      <c r="Z14" s="503"/>
      <c r="AA14" s="503"/>
      <c r="AB14" s="503"/>
      <c r="AC14" s="503"/>
      <c r="AD14" s="503"/>
      <c r="AE14" s="503"/>
      <c r="AF14" s="503"/>
    </row>
    <row r="15" spans="1:32" ht="15.75" customHeight="1" thickTop="1" x14ac:dyDescent="0.3">
      <c r="B15" s="33"/>
      <c r="I15" s="45" t="s">
        <v>177</v>
      </c>
      <c r="J15" s="226">
        <v>12</v>
      </c>
      <c r="L15" s="21">
        <f>IF(Peserta_Didik!C3&lt;&gt;"",Peserta_Didik!B3,"")</f>
        <v>1</v>
      </c>
    </row>
    <row r="16" spans="1:32" ht="4.5" customHeight="1" x14ac:dyDescent="0.25">
      <c r="L16" s="21">
        <f>IF(Peserta_Didik!C4&lt;&gt;"",Peserta_Didik!B4,"")</f>
        <v>2</v>
      </c>
    </row>
    <row r="17" spans="2:12" ht="26.25" customHeight="1" x14ac:dyDescent="0.25">
      <c r="B17" s="466" t="s">
        <v>121</v>
      </c>
      <c r="C17" s="467"/>
      <c r="D17" s="468"/>
      <c r="E17" s="52" t="s">
        <v>194</v>
      </c>
      <c r="F17" s="509" t="s">
        <v>195</v>
      </c>
      <c r="G17" s="510"/>
      <c r="L17" s="21">
        <f>IF(Peserta_Didik!C5&lt;&gt;"",Peserta_Didik!B5,"")</f>
        <v>3</v>
      </c>
    </row>
    <row r="18" spans="2:12" ht="21" customHeight="1" x14ac:dyDescent="0.25">
      <c r="B18" s="525" t="s">
        <v>139</v>
      </c>
      <c r="C18" s="525"/>
      <c r="D18" s="525"/>
      <c r="E18" s="525"/>
      <c r="F18" s="525"/>
      <c r="G18" s="525"/>
      <c r="H18" s="22"/>
      <c r="L18" s="21">
        <f>IF(Peserta_Didik!C9&lt;&gt;"",Peserta_Didik!B9,"")</f>
        <v>7</v>
      </c>
    </row>
    <row r="19" spans="2:12" ht="69.95" customHeight="1" x14ac:dyDescent="0.25">
      <c r="B19" s="70">
        <v>1</v>
      </c>
      <c r="C19" s="460" t="str">
        <f>IF(Mata_Pelajaran!D4&lt;&gt;"",Mata_Pelajaran!D4,"")</f>
        <v>Pendidikan Agama dan Budi Pekerti</v>
      </c>
      <c r="D19" s="461"/>
      <c r="E19" s="58" t="s">
        <v>122</v>
      </c>
      <c r="F19" s="523" t="str">
        <f>IF(VLOOKUP($J$15,Deskripsi1!$B$6:$CP$45,4,0)&lt;&gt;"",VLOOKUP($J$15,Deskripsi1!$B$6:$CP$45,4,0),"")</f>
        <v>Peserta didik sudah baik sekali dalam memahami surah Ar-rum ayat 41-41, iman kepada kitab allah, hukum islam tentang pengurusan jenazah, khotbah jumat, tabigh, dan dakwah, tetapi masih kurang bisa mengevaluasi salah satu kompetensi dasar</v>
      </c>
      <c r="G19" s="524"/>
      <c r="H19" s="23"/>
      <c r="L19" s="21">
        <f>IF(Peserta_Didik!C10&lt;&gt;"",Peserta_Didik!B10,"")</f>
        <v>8</v>
      </c>
    </row>
    <row r="20" spans="2:12" ht="69.95" customHeight="1" x14ac:dyDescent="0.25">
      <c r="B20" s="65"/>
      <c r="C20" s="66"/>
      <c r="D20" s="67"/>
      <c r="E20" s="60" t="s">
        <v>124</v>
      </c>
      <c r="F20" s="511" t="str">
        <f>IF(VLOOKUP($J$15,Deskripsi1!$B$6:$CP$45,5,0)&lt;&gt;"",VLOOKUP($J$15,Deskripsi1!$B$6:$CP$45,5,0),"")</f>
        <v>Terampil  dalam memahami surah Ar-rum ayat 41-41, iman kepada kitab allah, hukum islam tentang pengurusan jenazah, khotbah jumat, tabigh, dan dakwah, tetapi  masih kurang teliti pada salah satu kompetensi dasar</v>
      </c>
      <c r="G20" s="512"/>
      <c r="H20" s="23"/>
    </row>
    <row r="21" spans="2:12" ht="69.95" customHeight="1" x14ac:dyDescent="0.25">
      <c r="B21" s="55"/>
      <c r="C21" s="56"/>
      <c r="D21" s="57"/>
      <c r="E21" s="60" t="s">
        <v>196</v>
      </c>
      <c r="F21" s="511" t="str">
        <f>IF(VLOOKUP($J$15,Deskripsi1!$B$6:$CP$45,6,0)&lt;&gt;"",VLOOKUP($J$15,Deskripsi1!$B$6:$CP$45,6,0),"")</f>
        <v>Peserta Didik Sudah baik dalam menunjukkan sikap mengamalkan ajarannya, konsisten menerapkan sikap santun, jujur, kerjasama, percaya diri, disiplin, tanggung jawabserta peduli terhadap lingkungan</v>
      </c>
      <c r="G21" s="512"/>
      <c r="H21" s="23"/>
    </row>
    <row r="22" spans="2:12" ht="69.95" customHeight="1" x14ac:dyDescent="0.25">
      <c r="B22" s="62">
        <v>2</v>
      </c>
      <c r="C22" s="462" t="str">
        <f>IF(Mata_Pelajaran!D5&lt;&gt;"",Mata_Pelajaran!D5,"")</f>
        <v>Pendidikan Pancasila dan Kewarganegaraan</v>
      </c>
      <c r="D22" s="463"/>
      <c r="E22" s="60" t="s">
        <v>122</v>
      </c>
      <c r="F22" s="511" t="str">
        <f>IF(VLOOKUP($J$15,Deskripsi1!$B$6:$CP$45,7,0)&lt;&gt;"",VLOOKUP($J$15,Deskripsi1!$B$6:$CP$45,7,0),"")</f>
        <v>Peserta didik sudah baik sekali dalam Hak dan Kewajiban Warga Negara, Integrasi Nasional, Konsep Geopolitik, Hakikat Budaya Politik, tetapi masih kurang bisa mengevaluasi salah satu kompetensi dasar</v>
      </c>
      <c r="G22" s="512"/>
      <c r="H22" s="22"/>
      <c r="L22" s="21">
        <f>IF(Peserta_Didik!C11&lt;&gt;"",Peserta_Didik!B11,"")</f>
        <v>9</v>
      </c>
    </row>
    <row r="23" spans="2:12" ht="69.95" customHeight="1" x14ac:dyDescent="0.25">
      <c r="B23" s="65"/>
      <c r="C23" s="66"/>
      <c r="D23" s="67"/>
      <c r="E23" s="60" t="s">
        <v>124</v>
      </c>
      <c r="F23" s="511" t="str">
        <f>IF(VLOOKUP($J$15,Deskripsi1!$B$6:$CP$45,8,0)&lt;&gt;"",VLOOKUP($J$15,Deskripsi1!$B$6:$CP$45,8,0),"")</f>
        <v>Terampil dalam  Hak dan Kewajiban Warga Negara, Integrasi Nasional, Konsep Geopolitik, Hakikat Budaya Politik, tetapi masih kurang bisa mengevaluasi salah satu kompetensi dasar</v>
      </c>
      <c r="G23" s="512"/>
      <c r="H23" s="22"/>
    </row>
    <row r="24" spans="2:12" ht="69.95" customHeight="1" x14ac:dyDescent="0.25">
      <c r="B24" s="55"/>
      <c r="C24" s="56"/>
      <c r="D24" s="57"/>
      <c r="E24" s="60" t="s">
        <v>196</v>
      </c>
      <c r="F24" s="511" t="str">
        <f>IF(VLOOKUP($J$15,Deskripsi1!$B$6:$CP$45,9,0)&lt;&gt;"",VLOOKUP($J$15,Deskripsi1!$B$6:$CP$45,9,0),"")</f>
        <v>Peserta Didik Sudah baik dalam menunjukkan sikap mengamalkan ajarannya, konsisten menerapkan sikap santun, jujur, kerjasama, percaya diri, disiplin, tanggung jawabserta peduli terhadap lingkungan</v>
      </c>
      <c r="G24" s="512"/>
      <c r="H24" s="22"/>
    </row>
    <row r="25" spans="2:12" ht="65.099999999999994" customHeight="1" x14ac:dyDescent="0.25">
      <c r="B25" s="62">
        <v>3</v>
      </c>
      <c r="C25" s="462" t="str">
        <f>IF(Mata_Pelajaran!D6&lt;&gt;"",Mata_Pelajaran!D6,"")</f>
        <v>Bahasa Indonesia</v>
      </c>
      <c r="D25" s="463"/>
      <c r="E25" s="60" t="s">
        <v>122</v>
      </c>
      <c r="F25" s="511" t="str">
        <f>IF(VLOOKUP($J$15,Deskripsi1!$B$6:$CP$45,10,0)&lt;&gt;"",VLOOKUP($J$15,Deskripsi1!$B$6:$CP$45,10,0),"")</f>
        <v>Peserta didik sudah sangat baik dalam  Teks Explanasi, Teks Film/Drama, , , tetapi  masih kurang teliti pada salah satu kompetensi dasar</v>
      </c>
      <c r="G25" s="512"/>
      <c r="H25" s="22"/>
      <c r="L25" s="21">
        <f>IF(Peserta_Didik!C12&lt;&gt;"",Peserta_Didik!B12,"")</f>
        <v>10</v>
      </c>
    </row>
    <row r="26" spans="2:12" ht="65.099999999999994" customHeight="1" x14ac:dyDescent="0.25">
      <c r="B26" s="65"/>
      <c r="C26" s="66"/>
      <c r="D26" s="67"/>
      <c r="E26" s="60" t="s">
        <v>124</v>
      </c>
      <c r="F26" s="511" t="str">
        <f>IF(VLOOKUP($J$15,Deskripsi1!$B$6:$CP$45,11,0)&lt;&gt;"",VLOOKUP($J$15,Deskripsi1!$B$6:$CP$45,11,0),"")</f>
        <v>Terampil  dalam Teks Explanasi, Teks Film/Drama, , , tetapi  masih kurang teliti pada salah satu kompetensi dasar</v>
      </c>
      <c r="G26" s="512"/>
      <c r="H26" s="22"/>
    </row>
    <row r="27" spans="2:12" ht="65.099999999999994" customHeight="1" x14ac:dyDescent="0.25">
      <c r="B27" s="71"/>
      <c r="C27" s="72"/>
      <c r="D27" s="73"/>
      <c r="E27" s="110" t="s">
        <v>196</v>
      </c>
      <c r="F27" s="529" t="str">
        <f>IF(VLOOKUP($J$15,Deskripsi1!$B$6:$CP$45,12,0)&lt;&gt;"",VLOOKUP($J$15,Deskripsi1!$B$6:$CP$45,12,0),"")</f>
        <v>Peserta Didik Sudah sangat baik dalam menunjukkan sikap mengamalkan ajarannya, konsisten menerapkan sikap santun, jujur, kerjasama, percaya diri, disiplin, tanggung jawabserta peduli terhadap lingkungan</v>
      </c>
      <c r="G27" s="530"/>
      <c r="H27" s="22"/>
    </row>
    <row r="28" spans="2:12" ht="65.099999999999994" customHeight="1" x14ac:dyDescent="0.25">
      <c r="B28" s="65">
        <v>4</v>
      </c>
      <c r="C28" s="487" t="str">
        <f>IF(Mata_Pelajaran!D7&lt;&gt;"",Mata_Pelajaran!D7,"")</f>
        <v>Matematika</v>
      </c>
      <c r="D28" s="488"/>
      <c r="E28" s="59" t="s">
        <v>122</v>
      </c>
      <c r="F28" s="531" t="str">
        <f>IF(VLOOKUP($J$15,Deskripsi1!$B$6:$CP$45,13,0)&lt;&gt;"",VLOOKUP($J$15,Deskripsi1!$B$6:$CP$45,13,0),"")</f>
        <v>Peserta didik cukup baik dalam memahami Statistika, Aturan Pencacahan, Persamaan Lingkaran, dan Turunan, tetapi masih kurang menganalisis dan mengevaluasi 2 kompetensi dasar</v>
      </c>
      <c r="G28" s="532"/>
      <c r="H28" s="22"/>
      <c r="L28" s="21">
        <f>IF(Peserta_Didik!C13&lt;&gt;"",Peserta_Didik!B13,"")</f>
        <v>11</v>
      </c>
    </row>
    <row r="29" spans="2:12" ht="65.099999999999994" customHeight="1" x14ac:dyDescent="0.25">
      <c r="B29" s="65"/>
      <c r="C29" s="66"/>
      <c r="D29" s="67"/>
      <c r="E29" s="60" t="s">
        <v>124</v>
      </c>
      <c r="F29" s="511" t="str">
        <f>IF(VLOOKUP($J$15,Deskripsi1!$B$6:$CP$45,14,0)&lt;&gt;"",VLOOKUP($J$15,Deskripsi1!$B$6:$CP$45,14,0),"")</f>
        <v>Terampil dalam  memahami Statistika, Aturan Pencacahan, Persamaan Lingkaran, dan Turunan, tetapi masih kurang menganalisis dan mengevaluasi 2 kompetensi dasar</v>
      </c>
      <c r="G29" s="512"/>
      <c r="H29" s="22"/>
    </row>
    <row r="30" spans="2:12" ht="65.099999999999994" customHeight="1" x14ac:dyDescent="0.25">
      <c r="B30" s="55"/>
      <c r="C30" s="56"/>
      <c r="D30" s="57"/>
      <c r="E30" s="60" t="s">
        <v>196</v>
      </c>
      <c r="F30" s="511" t="str">
        <f>IF(VLOOKUP($J$15,Deskripsi1!$B$6:$CP$45,15,0)&lt;&gt;"",VLOOKUP($J$15,Deskripsi1!$B$6:$CP$45,15,0),"")</f>
        <v>Peserta Didik Sudah baik dalam menunjukkan sikap mengamalkan ajarannya, konsisten menerapkan sikap santun, jujur, kerjasama, percaya diri, disiplin, tanggung jawabserta peduli terhadap lingkungan</v>
      </c>
      <c r="G30" s="512"/>
      <c r="H30" s="22"/>
    </row>
    <row r="31" spans="2:12" ht="65.099999999999994" customHeight="1" x14ac:dyDescent="0.25">
      <c r="B31" s="62">
        <v>5</v>
      </c>
      <c r="C31" s="462" t="str">
        <f>IF(Mata_Pelajaran!D8&lt;&gt;"",Mata_Pelajaran!D8,"")</f>
        <v>Sejarah Indonesia</v>
      </c>
      <c r="D31" s="463"/>
      <c r="E31" s="60" t="s">
        <v>122</v>
      </c>
      <c r="F31" s="511" t="str">
        <f>IF(VLOOKUP($J$15,Deskripsi1!$B$6:$CP$45,16,0)&lt;&gt;"",VLOOKUP($J$15,Deskripsi1!$B$6:$CP$45,16,0),"")</f>
        <v>Peserta didik sudah baik sekali dalam Menganalisis Pergerakan nasional jaman Jepang, Menganalisis Peran Tokoh nasional dlm menegakkan NKRI, Menganalisis dampak pendudukan Jepang, , tetapi masih kurang bisa mengevaluasi salah satu kompetensi dasar</v>
      </c>
      <c r="G31" s="512"/>
      <c r="H31" s="22"/>
      <c r="L31" s="21">
        <f>IF(Peserta_Didik!C14&lt;&gt;"",Peserta_Didik!B14,"")</f>
        <v>12</v>
      </c>
    </row>
    <row r="32" spans="2:12" ht="65.099999999999994" customHeight="1" x14ac:dyDescent="0.25">
      <c r="B32" s="65"/>
      <c r="C32" s="66"/>
      <c r="D32" s="67"/>
      <c r="E32" s="60" t="s">
        <v>124</v>
      </c>
      <c r="F32" s="511" t="str">
        <f>IF(VLOOKUP($J$15,Deskripsi1!$B$6:$CP$45,17,0)&lt;&gt;"",VLOOKUP($J$15,Deskripsi1!$B$6:$CP$45,17,0),"")</f>
        <v>Terampil dalam  Menganalisis Pergerakan nasional jaman Jepang, Menganalisis Peran Tokoh nasional dlm menegakkan NKRI, Menganalisis dampak pendudukan Jepang, , tetapi masih kurang bisa mengevaluasi salah satu kompetensi dasar</v>
      </c>
      <c r="G32" s="512"/>
      <c r="H32" s="22"/>
    </row>
    <row r="33" spans="2:12" ht="65.099999999999994" customHeight="1" x14ac:dyDescent="0.25">
      <c r="B33" s="55"/>
      <c r="C33" s="56"/>
      <c r="D33" s="57"/>
      <c r="E33" s="60" t="s">
        <v>196</v>
      </c>
      <c r="F33" s="511" t="str">
        <f>IF(VLOOKUP($J$15,Deskripsi1!$B$6:$CP$45,18,0)&lt;&gt;"",VLOOKUP($J$15,Deskripsi1!$B$6:$CP$45,18,0),"")</f>
        <v>Peserta Didik Sudah baik dalam menunjukkan sikap mengamalkan ajarannya, konsisten menerapkan sikap santun, jujur, kerjasama, percaya diri, disiplin, tanggung jawabserta peduli terhadap lingkungan</v>
      </c>
      <c r="G33" s="512"/>
      <c r="H33" s="22"/>
    </row>
    <row r="34" spans="2:12" ht="65.099999999999994" customHeight="1" x14ac:dyDescent="0.25">
      <c r="B34" s="62">
        <v>6</v>
      </c>
      <c r="C34" s="462" t="str">
        <f>IF(Mata_Pelajaran!D9&lt;&gt;"",Mata_Pelajaran!D9,"")</f>
        <v>Bahasa Inggris</v>
      </c>
      <c r="D34" s="463"/>
      <c r="E34" s="60" t="s">
        <v>122</v>
      </c>
      <c r="F34" s="511" t="str">
        <f>IF(VLOOKUP($J$15,Deskripsi1!$B$6:$CP$45,19,0)&lt;&gt;"",VLOOKUP($J$15,Deskripsi1!$B$6:$CP$45,19,0),"")</f>
        <v>Peserta didik sudah baik sekali dalam Menganalisis fungsi sosial, struktur teks dan dan unsur kebahasaan dari teks prosedur berbentuk manual dan kiat kiat, Menganalisis fungsi sosial, struktur teks dan fungsi kebahasaan untuk menyatakan dan menanyakan tentang kegiatan, Menganalisis fungsi sosial, struktur teks dan unsur kebahasaan untuk menyatakan pengandaian, Menganalisis fungsi sosial, struktur teks dan unsur kebahasaanuntuk melaksanakan fungsi sosial teks factual report, tetapi masih kurang bisa mengevaluasi salah satu kompetensi dasar</v>
      </c>
      <c r="G34" s="512"/>
      <c r="H34" s="22"/>
      <c r="L34" s="21">
        <f>IF(Peserta_Didik!C15&lt;&gt;"",Peserta_Didik!B15,"")</f>
        <v>13</v>
      </c>
    </row>
    <row r="35" spans="2:12" ht="65.099999999999994" customHeight="1" x14ac:dyDescent="0.25">
      <c r="B35" s="65"/>
      <c r="C35" s="66"/>
      <c r="D35" s="67"/>
      <c r="E35" s="60" t="s">
        <v>124</v>
      </c>
      <c r="F35" s="511" t="str">
        <f>IF(VLOOKUP($J$15,Deskripsi1!$B$6:$CP$45,20,0)&lt;&gt;"",VLOOKUP($J$15,Deskripsi1!$B$6:$CP$45,20,0),"")</f>
        <v>Terampil dalam  Menganalisis fungsi sosial, struktur teks dan dan unsur kebahasaan dari teks prosedur berbentuk manual dan kiat kiat, Menganalisis fungsi sosial, struktur teks dan fungsi kebahasaan untuk menyatakan dan menanyakan tentang kegiatan, Menganalisis fungsi sosial, struktur teks dan unsur kebahasaan untuk menyatakan pengandaian, Menganalisis fungsi sosial, struktur teks dan unsur kebahasaanuntuk melaksanakan fungsi sosial teks factual report, tetapi masih kurang bisa mengevaluasi salah satu kompetensi dasar</v>
      </c>
      <c r="G35" s="512"/>
      <c r="H35" s="22"/>
    </row>
    <row r="36" spans="2:12" ht="65.099999999999994" customHeight="1" x14ac:dyDescent="0.25">
      <c r="B36" s="71"/>
      <c r="C36" s="72"/>
      <c r="D36" s="73"/>
      <c r="E36" s="110" t="s">
        <v>196</v>
      </c>
      <c r="F36" s="529" t="str">
        <f>IF(VLOOKUP($J$15,Deskripsi1!$B$6:$CP$45,21,0)&lt;&gt;"",VLOOKUP($J$15,Deskripsi1!$B$6:$CP$45,21,0),"")</f>
        <v>Peserta Didik Sudah sangat baik dalam menunjukkan sikap mengamalkan ajarannya, konsisten menerapkan sikap santun, jujur, kerjasama, percaya diri, disiplin, tanggung jawabserta peduli terhadap lingkungan</v>
      </c>
      <c r="G36" s="530"/>
      <c r="H36" s="22"/>
    </row>
    <row r="37" spans="2:12" ht="22.5" customHeight="1" x14ac:dyDescent="0.25">
      <c r="B37" s="519" t="s">
        <v>140</v>
      </c>
      <c r="C37" s="519"/>
      <c r="D37" s="519"/>
      <c r="E37" s="519"/>
      <c r="F37" s="519"/>
      <c r="G37" s="519"/>
      <c r="H37" s="22"/>
      <c r="L37" s="21">
        <f>IF(Peserta_Didik!C16&lt;&gt;"",Peserta_Didik!B16,"")</f>
        <v>14</v>
      </c>
    </row>
    <row r="38" spans="2:12" ht="65.099999999999994" customHeight="1" x14ac:dyDescent="0.25">
      <c r="B38" s="70">
        <v>1</v>
      </c>
      <c r="C38" s="460" t="str">
        <f>IF(Mata_Pelajaran!D11&lt;&gt;"",Mata_Pelajaran!D11,"")</f>
        <v>Seni Budaya</v>
      </c>
      <c r="D38" s="461"/>
      <c r="E38" s="58" t="s">
        <v>122</v>
      </c>
      <c r="F38" s="495" t="str">
        <f>IF(VLOOKUP($J$15,Deskripsi1!$B$6:$CP$45,22,0)&lt;&gt;"",VLOOKUP($J$15,Deskripsi1!$B$6:$CP$45,22,0),"")</f>
        <v>Peserta didik sudah baik sekali dalam Tangga Nada, Akor, Notasi Musik, Pergelaran Musik, tetapi masih kurang bisa mengevaluasi salah satu kompetensi dasar</v>
      </c>
      <c r="G38" s="496"/>
      <c r="H38" s="22"/>
      <c r="L38" s="21">
        <f>IF(Peserta_Didik!C17&lt;&gt;"",Peserta_Didik!B17,"")</f>
        <v>15</v>
      </c>
    </row>
    <row r="39" spans="2:12" ht="65.099999999999994" customHeight="1" x14ac:dyDescent="0.25">
      <c r="B39" s="65"/>
      <c r="C39" s="66"/>
      <c r="D39" s="67"/>
      <c r="E39" s="59" t="s">
        <v>124</v>
      </c>
      <c r="F39" s="507" t="str">
        <f>IF(VLOOKUP($J$15,Deskripsi1!$B$6:$CP$45,23,0)&lt;&gt;"",VLOOKUP($J$15,Deskripsi1!$B$6:$CP$45,23,0),"")</f>
        <v>Terampil dalam  Tangga Nada, Akor, Notasi Musik, Pergelaran Musik, tetapi masih kurang bisa mengevaluasi salah satu kompetensi dasar</v>
      </c>
      <c r="G39" s="508"/>
      <c r="H39" s="22"/>
    </row>
    <row r="40" spans="2:12" ht="65.099999999999994" customHeight="1" x14ac:dyDescent="0.25">
      <c r="B40" s="55"/>
      <c r="C40" s="56"/>
      <c r="D40" s="57"/>
      <c r="E40" s="59" t="s">
        <v>196</v>
      </c>
      <c r="F40" s="507" t="str">
        <f>IF(VLOOKUP($J$15,Deskripsi1!$B$6:$CP$45,24,0)&lt;&gt;"",VLOOKUP($J$15,Deskripsi1!$B$6:$CP$45,24,0),"")</f>
        <v>Peserta Didik Sudah baik dalam menunjukkan sikap mengamalkan ajarannya, konsisten menerapkan sikap santun, jujur, kerjasama, percaya diri, disiplin, tanggung jawabserta peduli terhadap lingkungan</v>
      </c>
      <c r="G40" s="508"/>
      <c r="H40" s="22"/>
    </row>
    <row r="41" spans="2:12" ht="69.95" customHeight="1" x14ac:dyDescent="0.25">
      <c r="B41" s="62">
        <v>2</v>
      </c>
      <c r="C41" s="462" t="str">
        <f>IF(Mata_Pelajaran!D12&lt;&gt;"",Mata_Pelajaran!D12,"")</f>
        <v>Pendidikan Jasmani, Olah Raga, dan Kesehatan</v>
      </c>
      <c r="D41" s="463"/>
      <c r="E41" s="60" t="s">
        <v>122</v>
      </c>
      <c r="F41" s="507" t="str">
        <f>IF(VLOOKUP($J$15,Deskripsi1!$B$6:$CP$45,25,0)&lt;&gt;"",VLOOKUP($J$15,Deskripsi1!$B$6:$CP$45,25,0),"")</f>
        <v>Peserta didik sudah baik dalam Bola volly, Renang, basket, lari, tetapi masih kurang mengevaluasi 2 kompetensi dasar</v>
      </c>
      <c r="G41" s="508"/>
      <c r="H41" s="22"/>
      <c r="L41" s="21">
        <f>IF(Peserta_Didik!C18&lt;&gt;"",Peserta_Didik!B18,"")</f>
        <v>16</v>
      </c>
    </row>
    <row r="42" spans="2:12" ht="69.95" customHeight="1" x14ac:dyDescent="0.25">
      <c r="B42" s="65"/>
      <c r="C42" s="66"/>
      <c r="D42" s="67"/>
      <c r="E42" s="63" t="s">
        <v>124</v>
      </c>
      <c r="F42" s="507" t="str">
        <f>IF(VLOOKUP($J$15,Deskripsi1!$B$6:$CP$45,26,0)&lt;&gt;"",VLOOKUP($J$15,Deskripsi1!$B$6:$CP$45,26,0),"")</f>
        <v>Terampil dalam  Bola volly, Renang, basket, lari, tetapi masih kurang bisa mengevaluasi salah satu kompetensi dasar</v>
      </c>
      <c r="G42" s="508"/>
      <c r="H42" s="22"/>
    </row>
    <row r="43" spans="2:12" ht="69.95" customHeight="1" x14ac:dyDescent="0.25">
      <c r="B43" s="55"/>
      <c r="C43" s="56"/>
      <c r="D43" s="57"/>
      <c r="E43" s="63" t="s">
        <v>196</v>
      </c>
      <c r="F43" s="507" t="str">
        <f>IF(VLOOKUP($J$15,Deskripsi1!$B$6:$CP$45,27,0)&lt;&gt;"",VLOOKUP($J$15,Deskripsi1!$B$6:$CP$45,27,0),"")</f>
        <v>Peserta Didik Sudah baik dalam menunjukkan sikap mengamalkan ajarannya, konsisten menerapkan sikap santun, jujur, kerjasama, percaya diri, disiplin, tanggung jawabserta peduli terhadap lingkungan</v>
      </c>
      <c r="G43" s="508"/>
      <c r="H43" s="22"/>
    </row>
    <row r="44" spans="2:12" ht="69.95" customHeight="1" x14ac:dyDescent="0.25">
      <c r="B44" s="62">
        <v>3</v>
      </c>
      <c r="C44" s="462" t="str">
        <f>IF(Mata_Pelajaran!D13&lt;&gt;"",Mata_Pelajaran!D13,"")</f>
        <v>Prakarya dan Kewirausahaan</v>
      </c>
      <c r="D44" s="463"/>
      <c r="E44" s="60" t="s">
        <v>122</v>
      </c>
      <c r="F44" s="507" t="str">
        <f>IF(VLOOKUP($J$15,Deskripsi1!$B$6:$CP$45,28,0)&lt;&gt;"",VLOOKUP($J$15,Deskripsi1!$B$6:$CP$45,28,0),"")</f>
        <v>Peserta didik sudah baik sekali dalam Produk dan pengemasan pengolahan, Proses produksi dan SDA yang dibutuhkan, Peluang usaha, Desain produk kosmetik, tetapi masih kurang bisa mengevaluasi salah satu kompetensi dasar</v>
      </c>
      <c r="G44" s="508"/>
      <c r="H44" s="23"/>
      <c r="L44" s="21">
        <f>IF(Peserta_Didik!C19&lt;&gt;"",Peserta_Didik!B19,"")</f>
        <v>17</v>
      </c>
    </row>
    <row r="45" spans="2:12" ht="69.95" customHeight="1" x14ac:dyDescent="0.25">
      <c r="B45" s="65"/>
      <c r="C45" s="66"/>
      <c r="D45" s="67"/>
      <c r="E45" s="68" t="s">
        <v>124</v>
      </c>
      <c r="F45" s="507" t="str">
        <f>IF(VLOOKUP($J$15,Deskripsi1!$B$6:$CP$45,29,0)&lt;&gt;"",VLOOKUP($J$15,Deskripsi1!$B$6:$CP$45,29,0),"")</f>
        <v>Terampil dalam  Produk dan pengemasan pengolahan, Proses produksi dan SDA yang dibutuhkan, Peluang usaha, Desain produk kosmetik, tetapi masih kurang bisa mengevaluasi salah satu kompetensi dasar</v>
      </c>
      <c r="G45" s="508"/>
      <c r="H45" s="23"/>
    </row>
    <row r="46" spans="2:12" ht="69.95" customHeight="1" x14ac:dyDescent="0.25">
      <c r="B46" s="71"/>
      <c r="C46" s="72"/>
      <c r="D46" s="73"/>
      <c r="E46" s="61" t="s">
        <v>196</v>
      </c>
      <c r="F46" s="497" t="str">
        <f>IF(VLOOKUP($J$15,Deskripsi1!$B$6:$CP$45,30,0)&lt;&gt;"",VLOOKUP($J$15,Deskripsi1!$B$6:$CP$45,30,0),"")</f>
        <v>Peserta Didik Sudah baik dalam menunjukkan sikap mengamalkan ajarannya, konsisten menerapkan sikap santun, jujur, kerjasama, percaya diri, disiplin, tanggung jawabserta peduli terhadap lingkungan</v>
      </c>
      <c r="G46" s="498"/>
      <c r="H46" s="22"/>
    </row>
    <row r="47" spans="2:12" ht="18" customHeight="1" x14ac:dyDescent="0.25">
      <c r="B47" s="526" t="s">
        <v>141</v>
      </c>
      <c r="C47" s="527"/>
      <c r="D47" s="527"/>
      <c r="E47" s="527"/>
      <c r="F47" s="527"/>
      <c r="G47" s="528"/>
      <c r="H47" s="22"/>
      <c r="L47" s="21">
        <f>IF(Peserta_Didik!C20&lt;&gt;"",Peserta_Didik!B20,"")</f>
        <v>18</v>
      </c>
    </row>
    <row r="48" spans="2:12" ht="18" customHeight="1" x14ac:dyDescent="0.25">
      <c r="B48" s="24" t="s">
        <v>130</v>
      </c>
      <c r="C48" s="513" t="s">
        <v>131</v>
      </c>
      <c r="D48" s="513"/>
      <c r="E48" s="513"/>
      <c r="F48" s="513"/>
      <c r="G48" s="513"/>
      <c r="H48" s="22"/>
      <c r="L48" s="21">
        <f>IF(Peserta_Didik!C21&lt;&gt;"",Peserta_Didik!B21,"")</f>
        <v>19</v>
      </c>
    </row>
    <row r="49" spans="2:12" ht="69.95" customHeight="1" x14ac:dyDescent="0.25">
      <c r="B49" s="70">
        <v>1</v>
      </c>
      <c r="C49" s="460" t="str">
        <f>IF(Mata_Pelajaran!E15&lt;&gt;"",Mata_Pelajaran!D15,"")</f>
        <v>Fisika</v>
      </c>
      <c r="D49" s="461"/>
      <c r="E49" s="58" t="s">
        <v>122</v>
      </c>
      <c r="F49" s="495" t="str">
        <f>IF(VLOOKUP($J$15,Deskripsi1!$B$6:$CP$45,31,0)&lt;&gt;"",VLOOKUP($J$15,Deskripsi1!$B$6:$CP$45,31,0),"")</f>
        <v>Peserta didik sudah baik dalam Arus Bolak Balik, Medan Magnet, Cermin, Lensa, dan Alat Optik, Fisika Modern, tetapi masih kurang mengevaluasi 2 kompetensi dasar</v>
      </c>
      <c r="G49" s="496"/>
      <c r="H49" s="22"/>
      <c r="L49" s="21">
        <f>IF(Peserta_Didik!C22&lt;&gt;"",Peserta_Didik!B22,"")</f>
        <v>20</v>
      </c>
    </row>
    <row r="50" spans="2:12" ht="69.95" customHeight="1" x14ac:dyDescent="0.25">
      <c r="B50" s="65"/>
      <c r="C50" s="66"/>
      <c r="D50" s="67"/>
      <c r="E50" s="60" t="s">
        <v>124</v>
      </c>
      <c r="F50" s="507" t="str">
        <f>IF(VLOOKUP($J$15,Deskripsi1!$B$6:$CP$45,32,0)&lt;&gt;"",VLOOKUP($J$15,Deskripsi1!$B$6:$CP$45,32,0),"")</f>
        <v>Terampil dalam  Arus Bolak Balik, Medan Magnet, Cermin, Lensa, dan Alat Optik, Fisika Modern, tetapi masih kurang mengevaluasi 2 kompetensi dasar</v>
      </c>
      <c r="G50" s="508"/>
      <c r="H50" s="22"/>
    </row>
    <row r="51" spans="2:12" ht="69.95" customHeight="1" x14ac:dyDescent="0.25">
      <c r="B51" s="55"/>
      <c r="C51" s="56"/>
      <c r="D51" s="57"/>
      <c r="E51" s="60" t="s">
        <v>196</v>
      </c>
      <c r="F51" s="507" t="str">
        <f>IF(VLOOKUP($J$15,Deskripsi1!$B$6:$CP$45,33,0)&lt;&gt;"",VLOOKUP($J$15,Deskripsi1!$B$6:$CP$45,33,0),"")</f>
        <v>Peserta Didik Sudah sangat baik dalam menunjukkan sikap mengamalkan ajarannya, konsisten menerapkan sikap santun, jujur, kerjasama, percaya diri, disiplin, tanggung jawabserta peduli terhadap lingkungan</v>
      </c>
      <c r="G51" s="508"/>
      <c r="H51" s="22"/>
    </row>
    <row r="52" spans="2:12" ht="69.95" customHeight="1" x14ac:dyDescent="0.25">
      <c r="B52" s="62">
        <v>2</v>
      </c>
      <c r="C52" s="462" t="str">
        <f>IF(Mata_Pelajaran!E16&lt;&gt;"",Mata_Pelajaran!D16,"")</f>
        <v>Sistem Komputer</v>
      </c>
      <c r="D52" s="463"/>
      <c r="E52" s="60" t="s">
        <v>122</v>
      </c>
      <c r="F52" s="507" t="str">
        <f>IF(VLOOKUP($J$15,Deskripsi1!$B$6:$CP$45,34,0)&lt;&gt;"",VLOOKUP($J$15,Deskripsi1!$B$6:$CP$45,34,0),"")</f>
        <v>Peserta didik sudah baik dalam  Memahami dan menganalisis kaidah dan simbol-simbol yang digunakan pada flowchart atau struktogram, Memahami organisasi prosesor, register, dan siklus instruksi (fetching, decoding, executing), Memahami Struktur CPU dan fungsi CPU, Memahami karakteristik  Set Instruksi (operand dan operasi), tetapi masih kurang mengevaluasi 2 kompetensi dasar</v>
      </c>
      <c r="G52" s="508"/>
      <c r="H52" s="22"/>
      <c r="L52" s="21">
        <f>IF(Peserta_Didik!C23&lt;&gt;"",Peserta_Didik!B23,"")</f>
        <v>21</v>
      </c>
    </row>
    <row r="53" spans="2:12" ht="69.95" customHeight="1" x14ac:dyDescent="0.25">
      <c r="B53" s="65"/>
      <c r="C53" s="66"/>
      <c r="D53" s="67"/>
      <c r="E53" s="60" t="s">
        <v>124</v>
      </c>
      <c r="F53" s="507" t="str">
        <f>IF(VLOOKUP($J$15,Deskripsi1!$B$6:$CP$45,35,0)&lt;&gt;"",VLOOKUP($J$15,Deskripsi1!$B$6:$CP$45,35,0),"")</f>
        <v>Terampil dalam   Memahami dan menganalisis kaidah dan simbol-simbol yang digunakan pada flowchart atau struktogram, Memahami organisasi prosesor, register, dan siklus instruksi (fetching, decoding, executing), Memahami Struktur CPU dan fungsi CPU, Memahami karakteristik  Set Instruksi (operand dan operasi), tetapi masih kurang bisa mengevaluasi salah satu kompetensi dasar</v>
      </c>
      <c r="G53" s="508"/>
      <c r="H53" s="22"/>
    </row>
    <row r="54" spans="2:12" ht="69.95" customHeight="1" x14ac:dyDescent="0.25">
      <c r="B54" s="55"/>
      <c r="C54" s="56"/>
      <c r="D54" s="57"/>
      <c r="E54" s="60" t="s">
        <v>196</v>
      </c>
      <c r="F54" s="507" t="str">
        <f>IF(VLOOKUP($J$15,Deskripsi1!$B$6:$CP$45,36,0)&lt;&gt;"",VLOOKUP($J$15,Deskripsi1!$B$6:$CP$45,36,0),"")</f>
        <v>Peserta Didik Sudah baik dalam menunjukkan sikap mengamalkan ajarannya, konsisten menerapkan sikap santun, jujur, kerjasama, percaya diri, disiplin, tanggung jawabserta peduli terhadap lingkungan</v>
      </c>
      <c r="G54" s="508"/>
      <c r="H54" s="22"/>
    </row>
    <row r="55" spans="2:12" ht="69.95" customHeight="1" x14ac:dyDescent="0.25">
      <c r="B55" s="70">
        <v>3</v>
      </c>
      <c r="C55" s="520" t="str">
        <f>IF(Mata_Pelajaran!E17&lt;&gt;"",Mata_Pelajaran!D17,"")</f>
        <v/>
      </c>
      <c r="D55" s="521"/>
      <c r="E55" s="60" t="s">
        <v>122</v>
      </c>
      <c r="F55" s="507" t="str">
        <f>IF(VLOOKUP($J$15,Deskripsi1!$B$6:$CP$45,37,0)&lt;&gt;"",VLOOKUP($J$15,Deskripsi1!$B$6:$CP$45,37,0),"")</f>
        <v/>
      </c>
      <c r="G55" s="508"/>
      <c r="H55" s="22"/>
    </row>
    <row r="56" spans="2:12" ht="69.95" customHeight="1" x14ac:dyDescent="0.25">
      <c r="B56" s="65"/>
      <c r="C56" s="289"/>
      <c r="D56" s="290"/>
      <c r="E56" s="60" t="s">
        <v>124</v>
      </c>
      <c r="F56" s="507" t="str">
        <f>IF(VLOOKUP($J$15,Deskripsi1!$B$6:$CP$45,38,0)&lt;&gt;"",VLOOKUP($J$15,Deskripsi1!$B$6:$CP$45,38,0),"")</f>
        <v/>
      </c>
      <c r="G56" s="508"/>
      <c r="H56" s="22"/>
    </row>
    <row r="57" spans="2:12" ht="69.95" customHeight="1" x14ac:dyDescent="0.25">
      <c r="B57" s="55"/>
      <c r="C57" s="289"/>
      <c r="D57" s="290"/>
      <c r="E57" s="60" t="s">
        <v>196</v>
      </c>
      <c r="F57" s="507" t="str">
        <f>IF(VLOOKUP($J$15,Deskripsi1!$B$6:$CP$45,39,0)&lt;&gt;"",VLOOKUP($J$15,Deskripsi1!$B$6:$CP$45,39,0),"")</f>
        <v/>
      </c>
      <c r="G57" s="508"/>
      <c r="H57" s="22"/>
    </row>
    <row r="58" spans="2:12" ht="69.95" customHeight="1" x14ac:dyDescent="0.25">
      <c r="B58" s="62">
        <v>4</v>
      </c>
      <c r="C58" s="287" t="str">
        <f>IF(Mata_Pelajaran!E18&lt;&gt;"",Mata_Pelajaran!D18,"")</f>
        <v/>
      </c>
      <c r="D58" s="288"/>
      <c r="E58" s="60" t="s">
        <v>122</v>
      </c>
      <c r="F58" s="507" t="str">
        <f>IF(VLOOKUP($J$15,Deskripsi1!$B$6:$CP$45,40,0)&lt;&gt;"",VLOOKUP($J$15,Deskripsi1!$B$6:$CP$45,40,0),"")</f>
        <v/>
      </c>
      <c r="G58" s="508"/>
      <c r="H58" s="22"/>
    </row>
    <row r="59" spans="2:12" ht="69.95" customHeight="1" x14ac:dyDescent="0.25">
      <c r="B59" s="65"/>
      <c r="C59" s="289"/>
      <c r="D59" s="290"/>
      <c r="E59" s="60" t="s">
        <v>124</v>
      </c>
      <c r="F59" s="507" t="str">
        <f>IF(VLOOKUP($J$15,Deskripsi1!$B$6:$CP$45,41,0)&lt;&gt;"",VLOOKUP($J$15,Deskripsi1!$B$6:$CP$45,41,0),"")</f>
        <v/>
      </c>
      <c r="G59" s="508"/>
      <c r="H59" s="22"/>
    </row>
    <row r="60" spans="2:12" ht="69.95" customHeight="1" x14ac:dyDescent="0.25">
      <c r="B60" s="55"/>
      <c r="C60" s="289"/>
      <c r="D60" s="290"/>
      <c r="E60" s="60" t="s">
        <v>196</v>
      </c>
      <c r="F60" s="507" t="str">
        <f>IF(VLOOKUP($J$15,Deskripsi1!$B$6:$CP$45,42,0)&lt;&gt;"",VLOOKUP($J$15,Deskripsi1!$B$6:$CP$45,42,0),"")</f>
        <v/>
      </c>
      <c r="G60" s="508"/>
      <c r="H60" s="22"/>
    </row>
    <row r="61" spans="2:12" ht="69.95" customHeight="1" x14ac:dyDescent="0.25">
      <c r="B61" s="70">
        <v>5</v>
      </c>
      <c r="C61" s="287" t="str">
        <f>IF(Mata_Pelajaran!E19&lt;&gt;"",Mata_Pelajaran!D19,"")</f>
        <v/>
      </c>
      <c r="D61" s="288"/>
      <c r="E61" s="60" t="s">
        <v>122</v>
      </c>
      <c r="F61" s="507" t="str">
        <f>IF(VLOOKUP($J$15,Deskripsi1!$B$6:$CP$45,43,0)&lt;&gt;"",VLOOKUP($J$15,Deskripsi1!$B$6:$CP$45,43,0),"")</f>
        <v/>
      </c>
      <c r="G61" s="508"/>
      <c r="H61" s="22"/>
    </row>
    <row r="62" spans="2:12" ht="69.95" customHeight="1" x14ac:dyDescent="0.25">
      <c r="B62" s="65"/>
      <c r="C62" s="289"/>
      <c r="D62" s="290"/>
      <c r="E62" s="60" t="s">
        <v>124</v>
      </c>
      <c r="F62" s="507" t="str">
        <f>IF(VLOOKUP($J$15,Deskripsi1!$B$6:$CP$45,44,0)&lt;&gt;"",VLOOKUP($J$15,Deskripsi1!$B$6:$CP$45,44,0),"")</f>
        <v/>
      </c>
      <c r="G62" s="508"/>
      <c r="H62" s="22"/>
    </row>
    <row r="63" spans="2:12" ht="69.95" customHeight="1" x14ac:dyDescent="0.25">
      <c r="B63" s="55"/>
      <c r="C63" s="289"/>
      <c r="D63" s="290"/>
      <c r="E63" s="60" t="s">
        <v>196</v>
      </c>
      <c r="F63" s="507" t="str">
        <f>IF(VLOOKUP($J$15,Deskripsi1!$B$6:$CP$45,45,0)&lt;&gt;"",VLOOKUP($J$15,Deskripsi1!$B$6:$CP$45,45,0),"")</f>
        <v/>
      </c>
      <c r="G63" s="508"/>
      <c r="H63" s="22"/>
    </row>
    <row r="64" spans="2:12" ht="69.95" customHeight="1" x14ac:dyDescent="0.25">
      <c r="B64" s="62">
        <v>6</v>
      </c>
      <c r="C64" s="287" t="str">
        <f>IF(Mata_Pelajaran!E20&lt;&gt;"",Mata_Pelajaran!D20,"")</f>
        <v/>
      </c>
      <c r="D64" s="288"/>
      <c r="E64" s="60" t="s">
        <v>122</v>
      </c>
      <c r="F64" s="507" t="str">
        <f>IF(VLOOKUP($J$15,Deskripsi1!$B$6:$CP$45,46,0)&lt;&gt;"",VLOOKUP($J$15,Deskripsi1!$B$6:$CP$45,46,0),"")</f>
        <v/>
      </c>
      <c r="G64" s="508"/>
      <c r="H64" s="22"/>
      <c r="L64" s="21">
        <f>IF(Peserta_Didik!C24&lt;&gt;"",Peserta_Didik!B24,"")</f>
        <v>22</v>
      </c>
    </row>
    <row r="65" spans="2:12" ht="69.95" customHeight="1" x14ac:dyDescent="0.25">
      <c r="B65" s="65"/>
      <c r="C65" s="66"/>
      <c r="D65" s="67"/>
      <c r="E65" s="60" t="s">
        <v>124</v>
      </c>
      <c r="F65" s="507" t="str">
        <f>IF(VLOOKUP($J$15,Deskripsi1!$B$6:$CP$45,47,0)&lt;&gt;"",VLOOKUP($J$15,Deskripsi1!$B$6:$CP$45,47,0),"")</f>
        <v/>
      </c>
      <c r="G65" s="508"/>
      <c r="H65" s="22"/>
    </row>
    <row r="66" spans="2:12" ht="69.95" customHeight="1" x14ac:dyDescent="0.25">
      <c r="B66" s="55"/>
      <c r="C66" s="72"/>
      <c r="D66" s="73"/>
      <c r="E66" s="110" t="s">
        <v>196</v>
      </c>
      <c r="F66" s="497" t="str">
        <f>IF(VLOOKUP($J$15,Deskripsi1!$B$6:$CP$45,48,0)&lt;&gt;"",VLOOKUP($J$15,Deskripsi1!$B$6:$CP$45,48,0),"")</f>
        <v/>
      </c>
      <c r="G66" s="498"/>
      <c r="H66" s="22"/>
    </row>
    <row r="67" spans="2:12" ht="18" customHeight="1" x14ac:dyDescent="0.25">
      <c r="B67" s="24" t="s">
        <v>132</v>
      </c>
      <c r="C67" s="514" t="s">
        <v>133</v>
      </c>
      <c r="D67" s="515"/>
      <c r="E67" s="515"/>
      <c r="F67" s="515"/>
      <c r="G67" s="516"/>
      <c r="H67" s="22"/>
      <c r="L67" s="21">
        <f>IF(Peserta_Didik!C27&lt;&gt;"",Peserta_Didik!B27,"")</f>
        <v>25</v>
      </c>
    </row>
    <row r="68" spans="2:12" ht="69.95" customHeight="1" x14ac:dyDescent="0.25">
      <c r="B68" s="70">
        <v>1</v>
      </c>
      <c r="C68" s="460" t="str">
        <f>IF(Mata_Pelajaran!E21&lt;&gt;"",Mata_Pelajaran!D21,"")</f>
        <v>Komputer terapan</v>
      </c>
      <c r="D68" s="461"/>
      <c r="E68" s="58" t="s">
        <v>122</v>
      </c>
      <c r="F68" s="495" t="str">
        <f>IF(VLOOKUP($J$15,Deskripsi1!$B$6:$CP$45,40,0)&lt;&gt;"",VLOOKUP($J$15,Deskripsi1!$B$6:$CP$45,40,0),"")</f>
        <v/>
      </c>
      <c r="G68" s="496"/>
      <c r="H68" s="22"/>
      <c r="L68" s="21">
        <f>IF(Peserta_Didik!C28&lt;&gt;"",Peserta_Didik!B28,"")</f>
        <v>26</v>
      </c>
    </row>
    <row r="69" spans="2:12" ht="69.95" customHeight="1" x14ac:dyDescent="0.25">
      <c r="B69" s="65"/>
      <c r="C69" s="66"/>
      <c r="D69" s="67"/>
      <c r="E69" s="60" t="s">
        <v>124</v>
      </c>
      <c r="F69" s="507" t="str">
        <f>IF(VLOOKUP($J$15,Deskripsi1!$B$6:$CP$45,41,0)&lt;&gt;"",VLOOKUP($J$15,Deskripsi1!$B$6:$CP$45,41,0),"")</f>
        <v/>
      </c>
      <c r="G69" s="508"/>
      <c r="H69" s="22"/>
    </row>
    <row r="70" spans="2:12" ht="69.95" customHeight="1" x14ac:dyDescent="0.25">
      <c r="B70" s="55"/>
      <c r="C70" s="56"/>
      <c r="D70" s="57"/>
      <c r="E70" s="60" t="s">
        <v>196</v>
      </c>
      <c r="F70" s="507" t="str">
        <f>IF(VLOOKUP($J$15,Deskripsi1!$B$6:$CP$45,42,0)&lt;&gt;"",VLOOKUP($J$15,Deskripsi1!$B$6:$CP$45,42,0),"")</f>
        <v/>
      </c>
      <c r="G70" s="508"/>
      <c r="H70" s="22"/>
    </row>
    <row r="71" spans="2:12" ht="69.95" customHeight="1" x14ac:dyDescent="0.25">
      <c r="B71" s="62">
        <v>2</v>
      </c>
      <c r="C71" s="462" t="str">
        <f>IF(Mata_Pelajaran!E22&lt;&gt;"",Mata_Pelajaran!D22,"")</f>
        <v>Rancang Bangun Jaringan</v>
      </c>
      <c r="D71" s="463"/>
      <c r="E71" s="60" t="s">
        <v>122</v>
      </c>
      <c r="F71" s="507" t="str">
        <f>IF(VLOOKUP($J$15,Deskripsi1!$B$6:$CP$45,43,0)&lt;&gt;"",VLOOKUP($J$15,Deskripsi1!$B$6:$CP$45,43,0),"")</f>
        <v/>
      </c>
      <c r="G71" s="508"/>
      <c r="H71" s="22"/>
      <c r="L71" s="21">
        <f>IF(Peserta_Didik!C29&lt;&gt;"",Peserta_Didik!B29,"")</f>
        <v>27</v>
      </c>
    </row>
    <row r="72" spans="2:12" ht="69.95" customHeight="1" x14ac:dyDescent="0.25">
      <c r="B72" s="65"/>
      <c r="C72" s="66"/>
      <c r="D72" s="67"/>
      <c r="E72" s="60" t="s">
        <v>124</v>
      </c>
      <c r="F72" s="507" t="str">
        <f>IF(VLOOKUP($J$15,Deskripsi1!$B$6:$CP$45,44,0)&lt;&gt;"",VLOOKUP($J$15,Deskripsi1!$B$6:$CP$45,44,0),"")</f>
        <v/>
      </c>
      <c r="G72" s="508"/>
      <c r="H72" s="22"/>
    </row>
    <row r="73" spans="2:12" ht="69.95" customHeight="1" x14ac:dyDescent="0.25">
      <c r="B73" s="55"/>
      <c r="C73" s="56"/>
      <c r="D73" s="57"/>
      <c r="E73" s="60" t="s">
        <v>196</v>
      </c>
      <c r="F73" s="507" t="str">
        <f>IF(VLOOKUP($J$15,Deskripsi1!$B$6:$CP$45,45,0)&lt;&gt;"",VLOOKUP($J$15,Deskripsi1!$B$6:$CP$45,45,0),"")</f>
        <v/>
      </c>
      <c r="G73" s="508"/>
      <c r="H73" s="22"/>
    </row>
    <row r="74" spans="2:12" ht="69.95" customHeight="1" x14ac:dyDescent="0.25">
      <c r="B74" s="62">
        <v>3</v>
      </c>
      <c r="C74" s="462" t="str">
        <f>IF(Mata_Pelajaran!E23&lt;&gt;"",Mata_Pelajaran!D23,"")</f>
        <v>Komunikasi Data</v>
      </c>
      <c r="D74" s="463"/>
      <c r="E74" s="60" t="s">
        <v>122</v>
      </c>
      <c r="F74" s="507" t="str">
        <f>IF(VLOOKUP($J$15,Deskripsi1!$B$6:$CP$45,46,0)&lt;&gt;"",VLOOKUP($J$15,Deskripsi1!$B$6:$CP$45,46,0),"")</f>
        <v/>
      </c>
      <c r="G74" s="508"/>
      <c r="H74" s="22"/>
      <c r="L74" s="21">
        <f>IF(Peserta_Didik!C30&lt;&gt;"",Peserta_Didik!B30,"")</f>
        <v>28</v>
      </c>
    </row>
    <row r="75" spans="2:12" ht="69.95" customHeight="1" x14ac:dyDescent="0.25">
      <c r="B75" s="65"/>
      <c r="C75" s="66"/>
      <c r="D75" s="67"/>
      <c r="E75" s="60" t="s">
        <v>124</v>
      </c>
      <c r="F75" s="507" t="str">
        <f>IF(VLOOKUP($J$15,Deskripsi1!$B$6:$CP$45,47,0)&lt;&gt;"",VLOOKUP($J$15,Deskripsi1!$B$6:$CP$45,47,0),"")</f>
        <v/>
      </c>
      <c r="G75" s="508"/>
      <c r="H75" s="22"/>
    </row>
    <row r="76" spans="2:12" ht="69.95" customHeight="1" x14ac:dyDescent="0.25">
      <c r="B76" s="71"/>
      <c r="C76" s="72"/>
      <c r="D76" s="73"/>
      <c r="E76" s="110" t="s">
        <v>196</v>
      </c>
      <c r="F76" s="497" t="str">
        <f>IF(VLOOKUP($J$15,Deskripsi1!$B$6:$CP$45,48,0)&lt;&gt;"",VLOOKUP($J$15,Deskripsi1!$B$6:$CP$45,48,0),"")</f>
        <v/>
      </c>
      <c r="G76" s="498"/>
      <c r="H76" s="22"/>
    </row>
    <row r="77" spans="2:12" ht="69.95" customHeight="1" x14ac:dyDescent="0.25">
      <c r="B77" s="65">
        <v>4</v>
      </c>
      <c r="C77" s="487" t="str">
        <f>IF(Mata_Pelajaran!E24&lt;&gt;"",Mata_Pelajaran!D24,"")</f>
        <v>Pemograman Dasar</v>
      </c>
      <c r="D77" s="488"/>
      <c r="E77" s="59" t="s">
        <v>122</v>
      </c>
      <c r="F77" s="517" t="str">
        <f>IF(VLOOKUP($J$15,Deskripsi1!$B$6:$CP$45,49,0)&lt;&gt;"",VLOOKUP($J$15,Deskripsi1!$B$6:$CP$45,49,0),"")</f>
        <v>Peserta didik sudah baik sekali dalam Peripheral Jaringan, Protokol komunikasi , Kinerja Input Output, Fungsi Kinerja Piranti Komputer Terapan, tetapi masih kurang bisa mengevaluasi salah satu kompetensi dasar</v>
      </c>
      <c r="G77" s="518"/>
      <c r="H77" s="22"/>
      <c r="L77" s="21">
        <f>IF(Peserta_Didik!C31&lt;&gt;"",Peserta_Didik!B31,"")</f>
        <v>29</v>
      </c>
    </row>
    <row r="78" spans="2:12" ht="69.95" customHeight="1" x14ac:dyDescent="0.25">
      <c r="B78" s="65"/>
      <c r="C78" s="66"/>
      <c r="D78" s="67"/>
      <c r="E78" s="60" t="s">
        <v>124</v>
      </c>
      <c r="F78" s="507" t="str">
        <f>IF(VLOOKUP($J$15,Deskripsi1!$B$6:$CP$45,50,0)&lt;&gt;"",VLOOKUP($J$15,Deskripsi1!$B$6:$CP$45,50,0),"")</f>
        <v>Terampil dalam  Peripheral Jaringan, Protokol komunikasi , Kinerja Input Output, Fungsi Kinerja Piranti Komputer Terapan, tetapi masih kurang bisa mengevaluasi salah satu kompetensi dasar</v>
      </c>
      <c r="G78" s="508"/>
      <c r="H78" s="22"/>
    </row>
    <row r="79" spans="2:12" ht="69.95" customHeight="1" x14ac:dyDescent="0.25">
      <c r="B79" s="55"/>
      <c r="C79" s="56"/>
      <c r="D79" s="57"/>
      <c r="E79" s="60" t="s">
        <v>196</v>
      </c>
      <c r="F79" s="507" t="str">
        <f>IF(VLOOKUP($J$15,Deskripsi1!$B$6:$CP$45,51,0)&lt;&gt;"",VLOOKUP($J$15,Deskripsi1!$B$6:$CP$45,51,0),"")</f>
        <v>Peserta Didik Sudah baik dalam menunjukkan sikap mengamalkan ajarannya, konsisten menerapkan sikap santun, jujur, kerjasama, percaya diri, disiplin, tanggung jawabserta peduli terhadap lingkungan</v>
      </c>
      <c r="G79" s="508"/>
      <c r="H79" s="22"/>
    </row>
    <row r="80" spans="2:12" ht="69.95" customHeight="1" x14ac:dyDescent="0.25">
      <c r="B80" s="65">
        <v>5</v>
      </c>
      <c r="C80" s="462" t="str">
        <f>IF(Mata_Pelajaran!E25&lt;&gt;"",Mata_Pelajaran!D25,"")</f>
        <v>Administrasi Server</v>
      </c>
      <c r="D80" s="463"/>
      <c r="E80" s="59" t="s">
        <v>122</v>
      </c>
      <c r="F80" s="517" t="str">
        <f>IF(VLOOKUP($J$15,Deskripsi1!$B$6:$CP$45,52,0)&lt;&gt;"",VLOOKUP($J$15,Deskripsi1!$B$6:$CP$45,52,0),"")</f>
        <v>Peserta didik sudah baik dalam Memahami konfigurasi Peralatan-peralatan Jaringan, Memahami Routing jaringan   computer, Memahami eksplorasi infrastruktur jaringan perusahaan, Menganalisa Perencanaan struktur pengalamatan, tetapi masih kurang mengevaluasi 2 kompetensi dasar</v>
      </c>
      <c r="G80" s="518"/>
      <c r="H80" s="22"/>
    </row>
    <row r="81" spans="2:12" ht="69.95" customHeight="1" x14ac:dyDescent="0.25">
      <c r="B81" s="65"/>
      <c r="C81" s="307"/>
      <c r="D81" s="308"/>
      <c r="E81" s="60" t="s">
        <v>124</v>
      </c>
      <c r="F81" s="507" t="str">
        <f>IF(VLOOKUP($J$15,Deskripsi1!$B$6:$CP$45,53,0)&lt;&gt;"",VLOOKUP($J$15,Deskripsi1!$B$6:$CP$45,53,0),"")</f>
        <v>Terampil dalam  Memahami konfigurasi Peralatan-peralatan Jaringan, Memahami Routing jaringan   computer, Memahami eksplorasi infrastruktur jaringan perusahaan, Menganalisa Perencanaan struktur pengalamatan, tetapi masih kurang bisa mengevaluasi salah satu kompetensi dasar</v>
      </c>
      <c r="G81" s="508"/>
      <c r="H81" s="22"/>
    </row>
    <row r="82" spans="2:12" ht="69.95" customHeight="1" x14ac:dyDescent="0.25">
      <c r="B82" s="65"/>
      <c r="C82" s="309"/>
      <c r="D82" s="310"/>
      <c r="E82" s="60" t="s">
        <v>196</v>
      </c>
      <c r="F82" s="507" t="str">
        <f>IF(VLOOKUP($J$15,Deskripsi1!$B$6:$CP$45,54,0)&lt;&gt;"",VLOOKUP($J$15,Deskripsi1!$B$6:$CP$45,54,0),"")</f>
        <v>Peserta Didik Sudah baik dalam menunjukkan sikap mengamalkan ajarannya, konsisten menerapkan sikap santun, jujur, kerjasama, percaya diri, disiplin, tanggung jawabserta peduli terhadap lingkungan</v>
      </c>
      <c r="G82" s="508"/>
      <c r="H82" s="22"/>
    </row>
    <row r="83" spans="2:12" ht="69.95" customHeight="1" x14ac:dyDescent="0.25">
      <c r="B83" s="62">
        <v>6</v>
      </c>
      <c r="C83" s="487" t="str">
        <f>IF(Mata_Pelajaran!E26&lt;&gt;"",Mata_Pelajaran!D26,"")</f>
        <v>Sistem Operasi Jaringan</v>
      </c>
      <c r="D83" s="488"/>
      <c r="E83" s="60" t="s">
        <v>122</v>
      </c>
      <c r="F83" s="517" t="str">
        <f>IF(VLOOKUP($J$15,Deskripsi1!$B$6:$CP$45,55,0)&lt;&gt;"",VLOOKUP($J$15,Deskripsi1!$B$6:$CP$45,55,0),"")</f>
        <v>Peserta didik sudah baik sekali dalam Memahami diagram rangkaian operasi komunikasi VoIP, Memahami prosedur instalasi server softswitch berbasis session initial protocol (SIP), konfigurasi ekstensi dan dial plan server softswitch, , tetapi masih kurang bisa mengevaluasi salah satu kompetensi dasar</v>
      </c>
      <c r="G83" s="518"/>
      <c r="H83" s="22"/>
      <c r="L83" s="21">
        <f>IF(Peserta_Didik!C32&lt;&gt;"",Peserta_Didik!B32,"")</f>
        <v>30</v>
      </c>
    </row>
    <row r="84" spans="2:12" ht="69.95" customHeight="1" x14ac:dyDescent="0.25">
      <c r="B84" s="65"/>
      <c r="C84" s="66"/>
      <c r="D84" s="67"/>
      <c r="E84" s="60" t="s">
        <v>124</v>
      </c>
      <c r="F84" s="507" t="str">
        <f>IF(VLOOKUP($J$15,Deskripsi1!$B$6:$CP$45,56,0)&lt;&gt;"",VLOOKUP($J$15,Deskripsi1!$B$6:$CP$45,56,0),"")</f>
        <v>Terampil dalam  Memahami diagram rangkaian operasi komunikasi VoIP, Memahami prosedur instalasi server softswitch berbasis session initial protocol (SIP), konfigurasi ekstensi dan dial plan server softswitch, , tetapi masih kurang bisa mengevaluasi salah satu kompetensi dasar</v>
      </c>
      <c r="G84" s="508"/>
      <c r="H84" s="22"/>
    </row>
    <row r="85" spans="2:12" ht="69.95" customHeight="1" x14ac:dyDescent="0.25">
      <c r="B85" s="71"/>
      <c r="C85" s="72"/>
      <c r="D85" s="73"/>
      <c r="E85" s="110" t="s">
        <v>196</v>
      </c>
      <c r="F85" s="507" t="str">
        <f>IF(VLOOKUP($J$15,Deskripsi1!$B$6:$CP$45,57,0)&lt;&gt;"",VLOOKUP($J$15,Deskripsi1!$B$6:$CP$45,57,0),"")</f>
        <v>Peserta Didik Sudah sangat baik dalam menunjukkan sikap mengamalkan ajarannya, konsisten menerapkan sikap santun, jujur, kerjasama, percaya diri, disiplin, tanggung jawabserta peduli terhadap lingkungan</v>
      </c>
      <c r="G85" s="508"/>
      <c r="H85" s="22"/>
    </row>
    <row r="86" spans="2:12" s="25" customFormat="1" ht="18" customHeight="1" x14ac:dyDescent="0.25">
      <c r="B86" s="24" t="s">
        <v>134</v>
      </c>
      <c r="C86" s="513" t="s">
        <v>135</v>
      </c>
      <c r="D86" s="513"/>
      <c r="E86" s="513"/>
      <c r="F86" s="513"/>
      <c r="G86" s="513"/>
      <c r="H86" s="31"/>
      <c r="L86" s="21">
        <f>IF(Peserta_Didik!C33&lt;&gt;"",Peserta_Didik!B33,"")</f>
        <v>31</v>
      </c>
    </row>
    <row r="87" spans="2:12" s="25" customFormat="1" ht="69.95" customHeight="1" x14ac:dyDescent="0.25">
      <c r="B87" s="70">
        <v>1</v>
      </c>
      <c r="C87" s="460" t="str">
        <f>IF(Mata_Pelajaran!E27&lt;&gt;"",Mata_Pelajaran!D27,"")</f>
        <v/>
      </c>
      <c r="D87" s="461"/>
      <c r="E87" s="58" t="s">
        <v>122</v>
      </c>
      <c r="F87" s="495" t="str">
        <f>IF(VLOOKUP($J$15,Deskripsi1!$B$6:$CP$45,58,0)&lt;&gt;"",VLOOKUP($J$15,Deskripsi1!$B$6:$CP$45,58,0),"")</f>
        <v>Peserta didik sudah baik dalam Pointer, Fungsi, Bahasa Pemrograman pada Aplikasi Bisnis, , tetapi masih kurang mengevaluasi 2 kompetensi dasar</v>
      </c>
      <c r="G87" s="496"/>
      <c r="H87" s="31"/>
      <c r="L87" s="21">
        <f>IF(Peserta_Didik!C34&lt;&gt;"",Peserta_Didik!B34,"")</f>
        <v>32</v>
      </c>
    </row>
    <row r="88" spans="2:12" s="25" customFormat="1" ht="69.95" customHeight="1" x14ac:dyDescent="0.25">
      <c r="B88" s="65"/>
      <c r="C88" s="66"/>
      <c r="D88" s="67"/>
      <c r="E88" s="60" t="s">
        <v>124</v>
      </c>
      <c r="F88" s="495" t="str">
        <f>IF(VLOOKUP($J$15,Deskripsi1!$B$6:$CP$45,59,0)&lt;&gt;"",VLOOKUP($J$15,Deskripsi1!$B$6:$CP$45,59,0),"")</f>
        <v>Terampil dalam  Pointer, Fungsi, Bahasa Pemrograman pada Aplikasi Bisnis, , tetapi masih kurang mengevaluasi 2 kompetensi dasar</v>
      </c>
      <c r="G88" s="496"/>
      <c r="H88" s="31"/>
      <c r="L88" s="21"/>
    </row>
    <row r="89" spans="2:12" s="25" customFormat="1" ht="69.95" customHeight="1" x14ac:dyDescent="0.25">
      <c r="B89" s="55"/>
      <c r="C89" s="56"/>
      <c r="D89" s="57"/>
      <c r="E89" s="60" t="s">
        <v>196</v>
      </c>
      <c r="F89" s="495" t="str">
        <f>IF(VLOOKUP($J$15,Deskripsi1!$B$6:$CP$45,60,0)&lt;&gt;"",VLOOKUP($J$15,Deskripsi1!$B$6:$CP$45,60,0),"")</f>
        <v>Peserta Didik Sudah baik dalam menunjukkan sikap mengamalkan ajarannya, konsisten menerapkan sikap santun, jujur, kerjasama, percaya diri, disiplin, tanggung jawabserta peduli terhadap lingkungan</v>
      </c>
      <c r="G89" s="496"/>
      <c r="H89" s="31"/>
      <c r="L89" s="21"/>
    </row>
    <row r="90" spans="2:12" s="25" customFormat="1" ht="69.95" customHeight="1" x14ac:dyDescent="0.25">
      <c r="B90" s="62">
        <v>2</v>
      </c>
      <c r="C90" s="462" t="str">
        <f>IF(Mata_Pelajaran!E28&lt;&gt;"",Mata_Pelajaran!D28,"")</f>
        <v/>
      </c>
      <c r="D90" s="463"/>
      <c r="E90" s="60" t="s">
        <v>122</v>
      </c>
      <c r="F90" s="507" t="str">
        <f>IF(VLOOKUP($J$15,Deskripsi1!$B$6:$CP$45,61,0)&lt;&gt;"",VLOOKUP($J$15,Deskripsi1!$B$6:$CP$45,61,0),"")</f>
        <v>Peserta didik cukup sangat baik dalam FTP, Mail  / web Mail, NTP Server, Remote Server (Telnet, SSH) dan Proxy server, , , tetapi masih kurang menganalisis dan mengevaluasi 2 kompetensi dasar</v>
      </c>
      <c r="G90" s="508"/>
      <c r="H90" s="31"/>
      <c r="L90" s="21">
        <f>IF(Peserta_Didik!C35&lt;&gt;"",Peserta_Didik!B35,"")</f>
        <v>33</v>
      </c>
    </row>
    <row r="91" spans="2:12" s="25" customFormat="1" ht="69.95" customHeight="1" x14ac:dyDescent="0.25">
      <c r="B91" s="65"/>
      <c r="C91" s="66"/>
      <c r="D91" s="67"/>
      <c r="E91" s="60" t="s">
        <v>124</v>
      </c>
      <c r="F91" s="507" t="str">
        <f>IF(VLOOKUP($J$15,Deskripsi1!$B$6:$CP$45,62,0)&lt;&gt;"",VLOOKUP($J$15,Deskripsi1!$B$6:$CP$45,62,0),"")</f>
        <v>Terampil dalam  FTP, Mail  / web Mail, NTP Server, Remote Server (Telnet, SSH) dan Proxy server, , , tetapi masih kurang mengevaluasi 2 kompetensi dasar</v>
      </c>
      <c r="G91" s="508"/>
      <c r="H91" s="31"/>
      <c r="L91" s="21"/>
    </row>
    <row r="92" spans="2:12" s="25" customFormat="1" ht="69.95" customHeight="1" x14ac:dyDescent="0.25">
      <c r="B92" s="55"/>
      <c r="C92" s="56"/>
      <c r="D92" s="57"/>
      <c r="E92" s="60" t="s">
        <v>196</v>
      </c>
      <c r="F92" s="507" t="str">
        <f>IF(VLOOKUP($J$15,Deskripsi1!$B$6:$CP$45,63,0)&lt;&gt;"",VLOOKUP($J$15,Deskripsi1!$B$6:$CP$45,63,0),"")</f>
        <v>Peserta Didik Sudah baik dalam menunjukkan sikap mengamalkan ajarannya, konsisten menerapkan sikap santun, jujur, kerjasama, percaya diri, disiplin, tanggung jawabserta peduli terhadap lingkungan</v>
      </c>
      <c r="G92" s="508"/>
      <c r="H92" s="31"/>
      <c r="L92" s="21"/>
    </row>
    <row r="93" spans="2:12" s="25" customFormat="1" ht="69.95" customHeight="1" x14ac:dyDescent="0.25">
      <c r="B93" s="65"/>
      <c r="C93" s="462" t="str">
        <f>IF(Mata_Pelajaran!E29&lt;&gt;"",Mata_Pelajaran!D29,"")</f>
        <v/>
      </c>
      <c r="D93" s="463"/>
      <c r="E93" s="60" t="s">
        <v>122</v>
      </c>
      <c r="F93" s="507" t="str">
        <f>IF(VLOOKUP($J$15,Deskripsi1!$B$6:$CP$45,64,0)&lt;&gt;"",VLOOKUP($J$15,Deskripsi1!$B$6:$CP$45,64,0),"")</f>
        <v>Peserta didik sudah baik sekali dalam Memahami Backup dan Restore basis data, Memahami cara pembuatan Grup dan User di Linux, Membuat Quota penyimpanan untuk user, dan troubleshooting SOJ, tetapi masih kurang bisa mengevaluasi salah satu kompetensi dasar</v>
      </c>
      <c r="G93" s="508"/>
      <c r="H93" s="31"/>
      <c r="L93" s="21"/>
    </row>
    <row r="94" spans="2:12" s="25" customFormat="1" ht="69.95" customHeight="1" x14ac:dyDescent="0.25">
      <c r="B94" s="65"/>
      <c r="C94" s="301"/>
      <c r="D94" s="302"/>
      <c r="E94" s="60" t="s">
        <v>124</v>
      </c>
      <c r="F94" s="507" t="str">
        <f>IF(VLOOKUP($J$15,Deskripsi1!$B$6:$CP$45,65,0)&lt;&gt;"",VLOOKUP($J$15,Deskripsi1!$B$6:$CP$45,65,0),"")</f>
        <v>Terampil dalam  Memahami Backup dan Restore basis data, Memahami cara pembuatan Grup dan User di Linux, Membuat Quota penyimpanan untuk user, dan troubleshooting SOJ, tetapi masih kurang bisa mengevaluasi salah satu kompetensi dasar</v>
      </c>
      <c r="G94" s="508"/>
      <c r="H94" s="31"/>
      <c r="L94" s="21"/>
    </row>
    <row r="95" spans="2:12" s="25" customFormat="1" ht="69.95" customHeight="1" x14ac:dyDescent="0.25">
      <c r="B95" s="65"/>
      <c r="C95" s="301"/>
      <c r="D95" s="302"/>
      <c r="E95" s="60" t="s">
        <v>196</v>
      </c>
      <c r="F95" s="507" t="str">
        <f>IF(VLOOKUP($J$15,Deskripsi1!$B$6:$CP$45,66,0)&lt;&gt;"",VLOOKUP($J$15,Deskripsi1!$B$6:$CP$45,66,0),"")</f>
        <v>Peserta Didik Sudah sangat baik dalam menunjukkan sikap mengamalkan ajarannya, konsisten menerapkan sikap santun, jujur, kerjasama, percaya diri, disiplin, tanggung jawabserta peduli terhadap lingkungan</v>
      </c>
      <c r="G95" s="508"/>
      <c r="H95" s="31"/>
      <c r="L95" s="21"/>
    </row>
    <row r="96" spans="2:12" s="25" customFormat="1" ht="69.95" customHeight="1" x14ac:dyDescent="0.25">
      <c r="B96" s="65"/>
      <c r="C96" s="462" t="str">
        <f>IF(Mata_Pelajaran!E30&lt;&gt;"",Mata_Pelajaran!D30,"")</f>
        <v/>
      </c>
      <c r="D96" s="463"/>
      <c r="E96" s="60" t="s">
        <v>122</v>
      </c>
      <c r="F96" s="507" t="str">
        <f>IF(VLOOKUP($J$15,Deskripsi1!$B$6:$CP$45,67,0)&lt;&gt;"",VLOOKUP($J$15,Deskripsi1!$B$6:$CP$45,67,0),"")</f>
        <v/>
      </c>
      <c r="G96" s="508"/>
      <c r="H96" s="31"/>
      <c r="L96" s="21"/>
    </row>
    <row r="97" spans="2:12" s="25" customFormat="1" ht="69.95" customHeight="1" x14ac:dyDescent="0.25">
      <c r="B97" s="65"/>
      <c r="C97" s="301"/>
      <c r="D97" s="302"/>
      <c r="E97" s="60" t="s">
        <v>124</v>
      </c>
      <c r="F97" s="507" t="str">
        <f>IF(VLOOKUP($J$15,Deskripsi1!$B$6:$CP$45,68,0)&lt;&gt;"",VLOOKUP($J$15,Deskripsi1!$B$6:$CP$45,68,0),"")</f>
        <v/>
      </c>
      <c r="G97" s="508"/>
      <c r="H97" s="31"/>
      <c r="L97" s="21"/>
    </row>
    <row r="98" spans="2:12" s="25" customFormat="1" ht="69.95" customHeight="1" x14ac:dyDescent="0.25">
      <c r="B98" s="65"/>
      <c r="C98" s="301"/>
      <c r="D98" s="302"/>
      <c r="E98" s="60" t="s">
        <v>196</v>
      </c>
      <c r="F98" s="507" t="str">
        <f>IF(VLOOKUP($J$15,Deskripsi1!$B$6:$CP$45,69,0)&lt;&gt;"",VLOOKUP($J$15,Deskripsi1!$B$6:$CP$45,69,0),"")</f>
        <v/>
      </c>
      <c r="G98" s="508"/>
      <c r="H98" s="31"/>
      <c r="L98" s="21"/>
    </row>
    <row r="99" spans="2:12" s="25" customFormat="1" ht="69.95" customHeight="1" x14ac:dyDescent="0.25">
      <c r="B99" s="65"/>
      <c r="C99" s="462" t="str">
        <f>IF(Mata_Pelajaran!E31&lt;&gt;"",Mata_Pelajaran!D31,"")</f>
        <v/>
      </c>
      <c r="D99" s="463"/>
      <c r="E99" s="60" t="s">
        <v>122</v>
      </c>
      <c r="F99" s="507" t="str">
        <f>IF(VLOOKUP($J$15,Deskripsi1!$B$6:$CP$45,70,0)&lt;&gt;"",VLOOKUP($J$15,Deskripsi1!$B$6:$CP$45,70,0),"")</f>
        <v/>
      </c>
      <c r="G99" s="508"/>
      <c r="H99" s="31"/>
      <c r="L99" s="21"/>
    </row>
    <row r="100" spans="2:12" s="25" customFormat="1" ht="69.95" customHeight="1" x14ac:dyDescent="0.25">
      <c r="B100" s="65"/>
      <c r="C100" s="301"/>
      <c r="D100" s="302"/>
      <c r="E100" s="60" t="s">
        <v>124</v>
      </c>
      <c r="F100" s="507" t="str">
        <f>IF(VLOOKUP($J$15,Deskripsi1!$B$6:$CP$45,71,0)&lt;&gt;"",VLOOKUP($J$15,Deskripsi1!$B$6:$CP$45,71,0),"")</f>
        <v/>
      </c>
      <c r="G100" s="508"/>
      <c r="H100" s="31"/>
      <c r="L100" s="21"/>
    </row>
    <row r="101" spans="2:12" s="25" customFormat="1" ht="69.95" customHeight="1" x14ac:dyDescent="0.25">
      <c r="B101" s="65"/>
      <c r="C101" s="301"/>
      <c r="D101" s="302"/>
      <c r="E101" s="60" t="s">
        <v>196</v>
      </c>
      <c r="F101" s="507" t="str">
        <f>IF(VLOOKUP($J$15,Deskripsi1!$B$6:$CP$45,72,0)&lt;&gt;"",VLOOKUP($J$15,Deskripsi1!$B$6:$CP$45,72,0),"")</f>
        <v/>
      </c>
      <c r="G101" s="508"/>
      <c r="H101" s="31"/>
      <c r="L101" s="21"/>
    </row>
    <row r="102" spans="2:12" ht="69.95" customHeight="1" x14ac:dyDescent="0.25">
      <c r="B102" s="62">
        <v>3</v>
      </c>
      <c r="C102" s="462" t="str">
        <f>IF(Mata_Pelajaran!E32&lt;&gt;"",Mata_Pelajaran!D32,"")</f>
        <v/>
      </c>
      <c r="D102" s="463"/>
      <c r="E102" s="60" t="s">
        <v>122</v>
      </c>
      <c r="F102" s="507" t="str">
        <f>IF(VLOOKUP($J$15,Deskripsi1!$B$6:$CP$45,73,0)&lt;&gt;"",VLOOKUP($J$15,Deskripsi1!$B$6:$CP$45,73,0),"")</f>
        <v/>
      </c>
      <c r="G102" s="508"/>
      <c r="H102" s="22"/>
      <c r="L102" s="21">
        <f>IF(Peserta_Didik!C36&lt;&gt;"",Peserta_Didik!B36,"")</f>
        <v>34</v>
      </c>
    </row>
    <row r="103" spans="2:12" s="25" customFormat="1" ht="69.95" customHeight="1" x14ac:dyDescent="0.25">
      <c r="B103" s="65"/>
      <c r="C103" s="66"/>
      <c r="D103" s="67"/>
      <c r="E103" s="60" t="s">
        <v>124</v>
      </c>
      <c r="F103" s="507" t="str">
        <f>IF(VLOOKUP($J$15,Deskripsi1!$B$6:$CP$45,74,0)&lt;&gt;"",VLOOKUP($J$15,Deskripsi1!$B$6:$CP$45,74,0),"")</f>
        <v/>
      </c>
      <c r="G103" s="508"/>
      <c r="H103" s="31"/>
      <c r="L103" s="21"/>
    </row>
    <row r="104" spans="2:12" s="25" customFormat="1" ht="69.95" customHeight="1" x14ac:dyDescent="0.25">
      <c r="B104" s="71"/>
      <c r="C104" s="72"/>
      <c r="D104" s="73"/>
      <c r="E104" s="110" t="s">
        <v>196</v>
      </c>
      <c r="F104" s="497" t="str">
        <f>IF(VLOOKUP($J$15,Deskripsi1!$B$6:$CP$45,75,0)&lt;&gt;"",VLOOKUP($J$15,Deskripsi1!$B$6:$CP$45,75,0),"")</f>
        <v/>
      </c>
      <c r="G104" s="498"/>
      <c r="H104" s="31"/>
      <c r="L104" s="21"/>
    </row>
    <row r="105" spans="2:12" s="25" customFormat="1" ht="18" customHeight="1" x14ac:dyDescent="0.25">
      <c r="B105" s="514" t="s">
        <v>199</v>
      </c>
      <c r="C105" s="515"/>
      <c r="D105" s="515"/>
      <c r="E105" s="515"/>
      <c r="F105" s="515"/>
      <c r="G105" s="516"/>
      <c r="H105" s="31"/>
      <c r="L105" s="21">
        <f>IF(Peserta_Didik!C37&lt;&gt;"",Peserta_Didik!B37,"")</f>
        <v>35</v>
      </c>
    </row>
    <row r="106" spans="2:12" s="25" customFormat="1" ht="66.75" customHeight="1" x14ac:dyDescent="0.25">
      <c r="B106" s="349">
        <v>1</v>
      </c>
      <c r="C106" s="460" t="str">
        <f>IF(Mata_Pelajaran!E34&lt;&gt;"",Mata_Pelajaran!D34,"")</f>
        <v xml:space="preserve">Pendidikan Lingkungan Hidup </v>
      </c>
      <c r="D106" s="461"/>
      <c r="E106" s="60" t="s">
        <v>122</v>
      </c>
      <c r="F106" s="507" t="str">
        <f>IF(VLOOKUP($J$15,Deskripsi1!$B$6:$CP$45,76,0)&lt;&gt;"",VLOOKUP($J$15,Deskripsi1!$B$6:$CP$45,76,0),"")</f>
        <v/>
      </c>
      <c r="G106" s="508"/>
      <c r="H106" s="31"/>
      <c r="L106" s="21"/>
    </row>
    <row r="107" spans="2:12" s="25" customFormat="1" ht="66.75" customHeight="1" x14ac:dyDescent="0.25">
      <c r="B107" s="350"/>
      <c r="C107" s="352"/>
      <c r="D107" s="353"/>
      <c r="E107" s="60" t="s">
        <v>124</v>
      </c>
      <c r="F107" s="507" t="str">
        <f>IF(VLOOKUP($J$15,Deskripsi1!$B$6:$CP$45,77,0)&lt;&gt;"",VLOOKUP($J$15,Deskripsi1!$B$6:$CP$45,77,0),"")</f>
        <v/>
      </c>
      <c r="G107" s="508"/>
      <c r="H107" s="31"/>
      <c r="L107" s="21"/>
    </row>
    <row r="108" spans="2:12" s="25" customFormat="1" ht="66.75" customHeight="1" x14ac:dyDescent="0.25">
      <c r="B108" s="351"/>
      <c r="C108" s="354"/>
      <c r="D108" s="355"/>
      <c r="E108" s="110" t="s">
        <v>196</v>
      </c>
      <c r="F108" s="497" t="str">
        <f>IF(VLOOKUP($J$15,Deskripsi1!$B$6:$CP$45,78,0)&lt;&gt;"",VLOOKUP($J$15,Deskripsi1!$B$6:$CP$45,78,0),"")</f>
        <v/>
      </c>
      <c r="G108" s="498"/>
      <c r="H108" s="31"/>
      <c r="L108" s="21"/>
    </row>
    <row r="109" spans="2:12" s="25" customFormat="1" ht="69.95" customHeight="1" x14ac:dyDescent="0.25">
      <c r="B109" s="70">
        <v>2</v>
      </c>
      <c r="C109" s="460" t="str">
        <f>IF(Mata_Pelajaran!E35&lt;&gt;"",Mata_Pelajaran!D35,"")</f>
        <v/>
      </c>
      <c r="D109" s="461"/>
      <c r="E109" s="58" t="s">
        <v>122</v>
      </c>
      <c r="F109" s="495" t="str">
        <f>IF(VLOOKUP($J$15,Deskripsi1!$B$6:$CP$45,79,0)&lt;&gt;"",VLOOKUP($J$15,Deskripsi1!$B$6:$CP$45,79,0),"")</f>
        <v/>
      </c>
      <c r="G109" s="496"/>
      <c r="H109" s="31"/>
      <c r="L109" s="21">
        <f>IF(Peserta_Didik!C38&lt;&gt;"",Peserta_Didik!B38,"")</f>
        <v>36</v>
      </c>
    </row>
    <row r="110" spans="2:12" s="25" customFormat="1" ht="69.95" customHeight="1" x14ac:dyDescent="0.25">
      <c r="B110" s="65"/>
      <c r="C110" s="66"/>
      <c r="D110" s="67"/>
      <c r="E110" s="60" t="s">
        <v>124</v>
      </c>
      <c r="F110" s="507" t="str">
        <f>IF(VLOOKUP($J$15,Deskripsi1!$B$6:$CP$45,80,0)&lt;&gt;"",VLOOKUP($J$15,Deskripsi1!$B$6:$CP$45,80,0),"")</f>
        <v/>
      </c>
      <c r="G110" s="508"/>
      <c r="H110" s="31"/>
      <c r="L110" s="21"/>
    </row>
    <row r="111" spans="2:12" s="25" customFormat="1" ht="69.95" customHeight="1" x14ac:dyDescent="0.25">
      <c r="B111" s="71"/>
      <c r="C111" s="72"/>
      <c r="D111" s="73"/>
      <c r="E111" s="110" t="s">
        <v>196</v>
      </c>
      <c r="F111" s="497" t="str">
        <f>IF(VLOOKUP($J$15,Deskripsi1!$B$6:$CP$45,81,0)&lt;&gt;"",VLOOKUP($J$15,Deskripsi1!$B$6:$CP$45,81,0),"")</f>
        <v/>
      </c>
      <c r="G111" s="498"/>
      <c r="H111" s="31"/>
      <c r="L111" s="21"/>
    </row>
    <row r="112" spans="2:12" ht="17.100000000000001" customHeight="1" x14ac:dyDescent="0.25">
      <c r="B112" s="39"/>
      <c r="C112" s="40"/>
      <c r="D112" s="40"/>
      <c r="E112" s="41"/>
    </row>
    <row r="114" spans="3:6" x14ac:dyDescent="0.25">
      <c r="C114" s="53" t="s">
        <v>171</v>
      </c>
      <c r="F114" t="str">
        <f>Informasi_Rapot!C29</f>
        <v>Baleendah, 20 Juni 2015</v>
      </c>
    </row>
    <row r="115" spans="3:6" x14ac:dyDescent="0.25">
      <c r="C115" s="53" t="s">
        <v>172</v>
      </c>
      <c r="F115" t="s">
        <v>173</v>
      </c>
    </row>
    <row r="119" spans="3:6" x14ac:dyDescent="0.25">
      <c r="C119" s="486" t="s">
        <v>174</v>
      </c>
      <c r="D119" s="486"/>
      <c r="F119" t="str">
        <f>Informasi_Rapot!C22</f>
        <v>Iis Tarliah, S.Pd</v>
      </c>
    </row>
    <row r="120" spans="3:6" x14ac:dyDescent="0.25">
      <c r="F120" t="str">
        <f>"NIP "&amp;Informasi_Rapot!C23</f>
        <v>NIP 196509031991032004</v>
      </c>
    </row>
    <row r="132" spans="2:2" x14ac:dyDescent="0.25">
      <c r="B132" s="228">
        <f>IF(Peserta_Didik!C3&lt;&gt;"",Peserta_Didik!B3,"")</f>
        <v>1</v>
      </c>
    </row>
    <row r="133" spans="2:2" x14ac:dyDescent="0.25">
      <c r="B133" s="228">
        <f>IF(Peserta_Didik!C4&lt;&gt;"",Peserta_Didik!B4,"")</f>
        <v>2</v>
      </c>
    </row>
    <row r="134" spans="2:2" x14ac:dyDescent="0.25">
      <c r="B134" s="228">
        <f>IF(Peserta_Didik!C5&lt;&gt;"",Peserta_Didik!B5,"")</f>
        <v>3</v>
      </c>
    </row>
    <row r="135" spans="2:2" x14ac:dyDescent="0.25">
      <c r="B135" s="228">
        <f>IF(Peserta_Didik!C6&lt;&gt;"",Peserta_Didik!B6,"")</f>
        <v>4</v>
      </c>
    </row>
    <row r="136" spans="2:2" x14ac:dyDescent="0.25">
      <c r="B136" s="228">
        <f>IF(Peserta_Didik!C7&lt;&gt;"",Peserta_Didik!B7,"")</f>
        <v>5</v>
      </c>
    </row>
    <row r="137" spans="2:2" x14ac:dyDescent="0.25">
      <c r="B137" s="228">
        <f>IF(Peserta_Didik!C8&lt;&gt;"",Peserta_Didik!B8,"")</f>
        <v>6</v>
      </c>
    </row>
    <row r="138" spans="2:2" x14ac:dyDescent="0.25">
      <c r="B138" s="228">
        <f>IF(Peserta_Didik!C9&lt;&gt;"",Peserta_Didik!B9,"")</f>
        <v>7</v>
      </c>
    </row>
    <row r="139" spans="2:2" x14ac:dyDescent="0.25">
      <c r="B139" s="228">
        <f>IF(Peserta_Didik!C10&lt;&gt;"",Peserta_Didik!B10,"")</f>
        <v>8</v>
      </c>
    </row>
    <row r="140" spans="2:2" x14ac:dyDescent="0.25">
      <c r="B140" s="228">
        <f>IF(Peserta_Didik!C11&lt;&gt;"",Peserta_Didik!B11,"")</f>
        <v>9</v>
      </c>
    </row>
    <row r="141" spans="2:2" x14ac:dyDescent="0.25">
      <c r="B141" s="228">
        <f>IF(Peserta_Didik!C12&lt;&gt;"",Peserta_Didik!B12,"")</f>
        <v>10</v>
      </c>
    </row>
    <row r="142" spans="2:2" x14ac:dyDescent="0.25">
      <c r="B142" s="228">
        <f>IF(Peserta_Didik!C13&lt;&gt;"",Peserta_Didik!B13,"")</f>
        <v>11</v>
      </c>
    </row>
    <row r="143" spans="2:2" x14ac:dyDescent="0.25">
      <c r="B143" s="228">
        <f>IF(Peserta_Didik!C14&lt;&gt;"",Peserta_Didik!B14,"")</f>
        <v>12</v>
      </c>
    </row>
    <row r="144" spans="2:2" x14ac:dyDescent="0.25">
      <c r="B144" s="228">
        <f>IF(Peserta_Didik!C15&lt;&gt;"",Peserta_Didik!B15,"")</f>
        <v>13</v>
      </c>
    </row>
    <row r="145" spans="2:2" x14ac:dyDescent="0.25">
      <c r="B145" s="228">
        <f>IF(Peserta_Didik!C16&lt;&gt;"",Peserta_Didik!B16,"")</f>
        <v>14</v>
      </c>
    </row>
    <row r="146" spans="2:2" x14ac:dyDescent="0.25">
      <c r="B146" s="228">
        <f>IF(Peserta_Didik!C17&lt;&gt;"",Peserta_Didik!B17,"")</f>
        <v>15</v>
      </c>
    </row>
    <row r="147" spans="2:2" x14ac:dyDescent="0.25">
      <c r="B147" s="228">
        <f>IF(Peserta_Didik!C18&lt;&gt;"",Peserta_Didik!B18,"")</f>
        <v>16</v>
      </c>
    </row>
    <row r="148" spans="2:2" x14ac:dyDescent="0.25">
      <c r="B148" s="228">
        <f>IF(Peserta_Didik!C19&lt;&gt;"",Peserta_Didik!B19,"")</f>
        <v>17</v>
      </c>
    </row>
    <row r="149" spans="2:2" x14ac:dyDescent="0.25">
      <c r="B149" s="228">
        <f>IF(Peserta_Didik!C20&lt;&gt;"",Peserta_Didik!B20,"")</f>
        <v>18</v>
      </c>
    </row>
    <row r="150" spans="2:2" x14ac:dyDescent="0.25">
      <c r="B150" s="228">
        <f>IF(Peserta_Didik!C21&lt;&gt;"",Peserta_Didik!B21,"")</f>
        <v>19</v>
      </c>
    </row>
    <row r="151" spans="2:2" x14ac:dyDescent="0.25">
      <c r="B151" s="228">
        <f>IF(Peserta_Didik!C22&lt;&gt;"",Peserta_Didik!B22,"")</f>
        <v>20</v>
      </c>
    </row>
    <row r="152" spans="2:2" x14ac:dyDescent="0.25">
      <c r="B152" s="228">
        <f>IF(Peserta_Didik!C23&lt;&gt;"",Peserta_Didik!B23,"")</f>
        <v>21</v>
      </c>
    </row>
    <row r="153" spans="2:2" x14ac:dyDescent="0.25">
      <c r="B153" s="228">
        <f>IF(Peserta_Didik!C24&lt;&gt;"",Peserta_Didik!B24,"")</f>
        <v>22</v>
      </c>
    </row>
    <row r="154" spans="2:2" x14ac:dyDescent="0.25">
      <c r="B154" s="228">
        <f>IF(Peserta_Didik!C25&lt;&gt;"",Peserta_Didik!B25,"")</f>
        <v>23</v>
      </c>
    </row>
    <row r="155" spans="2:2" x14ac:dyDescent="0.25">
      <c r="B155" s="228">
        <f>IF(Peserta_Didik!C26&lt;&gt;"",Peserta_Didik!B26,"")</f>
        <v>24</v>
      </c>
    </row>
    <row r="156" spans="2:2" x14ac:dyDescent="0.25">
      <c r="B156" s="228">
        <f>IF(Peserta_Didik!C27&lt;&gt;"",Peserta_Didik!B27,"")</f>
        <v>25</v>
      </c>
    </row>
    <row r="157" spans="2:2" x14ac:dyDescent="0.25">
      <c r="B157" s="228">
        <f>IF(Peserta_Didik!C28&lt;&gt;"",Peserta_Didik!B28,"")</f>
        <v>26</v>
      </c>
    </row>
    <row r="158" spans="2:2" x14ac:dyDescent="0.25">
      <c r="B158" s="228">
        <f>IF(Peserta_Didik!C29&lt;&gt;"",Peserta_Didik!B29,"")</f>
        <v>27</v>
      </c>
    </row>
    <row r="159" spans="2:2" x14ac:dyDescent="0.25">
      <c r="B159" s="228">
        <f>IF(Peserta_Didik!C30&lt;&gt;"",Peserta_Didik!B30,"")</f>
        <v>28</v>
      </c>
    </row>
    <row r="160" spans="2:2" x14ac:dyDescent="0.25">
      <c r="B160" s="228">
        <f>IF(Peserta_Didik!C31&lt;&gt;"",Peserta_Didik!B31,"")</f>
        <v>29</v>
      </c>
    </row>
    <row r="161" spans="2:2" x14ac:dyDescent="0.25">
      <c r="B161" s="228">
        <f>IF(Peserta_Didik!C32&lt;&gt;"",Peserta_Didik!B32,"")</f>
        <v>30</v>
      </c>
    </row>
    <row r="162" spans="2:2" x14ac:dyDescent="0.25">
      <c r="B162" s="228">
        <f>IF(Peserta_Didik!C33&lt;&gt;"",Peserta_Didik!B33,"")</f>
        <v>31</v>
      </c>
    </row>
    <row r="163" spans="2:2" x14ac:dyDescent="0.25">
      <c r="B163" s="228">
        <f>IF(Peserta_Didik!C34&lt;&gt;"",Peserta_Didik!B34,"")</f>
        <v>32</v>
      </c>
    </row>
    <row r="164" spans="2:2" x14ac:dyDescent="0.25">
      <c r="B164" s="228">
        <f>IF(Peserta_Didik!C35&lt;&gt;"",Peserta_Didik!B35,"")</f>
        <v>33</v>
      </c>
    </row>
    <row r="165" spans="2:2" x14ac:dyDescent="0.25">
      <c r="B165" s="228">
        <f>IF(Peserta_Didik!C36&lt;&gt;"",Peserta_Didik!B36,"")</f>
        <v>34</v>
      </c>
    </row>
    <row r="166" spans="2:2" x14ac:dyDescent="0.25">
      <c r="B166" s="228">
        <f>IF(Peserta_Didik!C37&lt;&gt;"",Peserta_Didik!B37,"")</f>
        <v>35</v>
      </c>
    </row>
    <row r="167" spans="2:2" x14ac:dyDescent="0.25">
      <c r="B167" s="228">
        <f>IF(Peserta_Didik!C38&lt;&gt;"",Peserta_Didik!B38,"")</f>
        <v>36</v>
      </c>
    </row>
    <row r="168" spans="2:2" x14ac:dyDescent="0.25">
      <c r="B168" s="228">
        <f>IF(Peserta_Didik!C39&lt;&gt;"",Peserta_Didik!B39,"")</f>
        <v>37</v>
      </c>
    </row>
    <row r="169" spans="2:2" x14ac:dyDescent="0.25">
      <c r="B169" s="228">
        <f>IF(Peserta_Didik!C40&lt;&gt;"",Peserta_Didik!B40,"")</f>
        <v>38</v>
      </c>
    </row>
    <row r="170" spans="2:2" x14ac:dyDescent="0.25">
      <c r="B170" s="228" t="str">
        <f>IF(Peserta_Didik!C41&lt;&gt;"",Peserta_Didik!B41,"")</f>
        <v/>
      </c>
    </row>
    <row r="171" spans="2:2" x14ac:dyDescent="0.25">
      <c r="B171" s="228" t="str">
        <f>IF(Peserta_Didik!C42&lt;&gt;"",Peserta_Didik!B42,"")</f>
        <v/>
      </c>
    </row>
  </sheetData>
  <sheetProtection password="CA9C" sheet="1" objects="1" scenarios="1" selectLockedCells="1"/>
  <mergeCells count="137">
    <mergeCell ref="B17:D17"/>
    <mergeCell ref="C48:G48"/>
    <mergeCell ref="F19:G19"/>
    <mergeCell ref="B18:G18"/>
    <mergeCell ref="C19:D19"/>
    <mergeCell ref="C22:D22"/>
    <mergeCell ref="C25:D25"/>
    <mergeCell ref="C28:D28"/>
    <mergeCell ref="C31:D31"/>
    <mergeCell ref="C41:D41"/>
    <mergeCell ref="C44:D44"/>
    <mergeCell ref="B47:G47"/>
    <mergeCell ref="F25:G25"/>
    <mergeCell ref="F26:G26"/>
    <mergeCell ref="F27:G27"/>
    <mergeCell ref="F28:G28"/>
    <mergeCell ref="F29:G29"/>
    <mergeCell ref="F36:G36"/>
    <mergeCell ref="F35:G35"/>
    <mergeCell ref="F34:G34"/>
    <mergeCell ref="F33:G33"/>
    <mergeCell ref="F32:G32"/>
    <mergeCell ref="F31:G31"/>
    <mergeCell ref="F30:G30"/>
    <mergeCell ref="Q14:AF14"/>
    <mergeCell ref="A2:G2"/>
    <mergeCell ref="A3:G3"/>
    <mergeCell ref="A4:G4"/>
    <mergeCell ref="A5:G5"/>
    <mergeCell ref="A6:G6"/>
    <mergeCell ref="A7:G7"/>
    <mergeCell ref="Q9:AF9"/>
    <mergeCell ref="Q10:AF10"/>
    <mergeCell ref="Q12:AF12"/>
    <mergeCell ref="Q13:AF13"/>
    <mergeCell ref="Q11:AF11"/>
    <mergeCell ref="B9:G9"/>
    <mergeCell ref="D11:E11"/>
    <mergeCell ref="F111:G111"/>
    <mergeCell ref="F110:G110"/>
    <mergeCell ref="F109:G109"/>
    <mergeCell ref="F104:G104"/>
    <mergeCell ref="F103:G103"/>
    <mergeCell ref="C96:D96"/>
    <mergeCell ref="C99:D99"/>
    <mergeCell ref="F93:G93"/>
    <mergeCell ref="F94:G94"/>
    <mergeCell ref="F95:G95"/>
    <mergeCell ref="F96:G96"/>
    <mergeCell ref="F97:G97"/>
    <mergeCell ref="F98:G98"/>
    <mergeCell ref="F99:G99"/>
    <mergeCell ref="F88:G88"/>
    <mergeCell ref="F87:G87"/>
    <mergeCell ref="F102:G102"/>
    <mergeCell ref="F92:G92"/>
    <mergeCell ref="F91:G91"/>
    <mergeCell ref="F90:G90"/>
    <mergeCell ref="F89:G89"/>
    <mergeCell ref="C109:D109"/>
    <mergeCell ref="B105:G105"/>
    <mergeCell ref="C93:D93"/>
    <mergeCell ref="F100:G100"/>
    <mergeCell ref="F101:G101"/>
    <mergeCell ref="F106:G106"/>
    <mergeCell ref="F107:G107"/>
    <mergeCell ref="F108:G108"/>
    <mergeCell ref="C106:D106"/>
    <mergeCell ref="C34:D34"/>
    <mergeCell ref="F85:G85"/>
    <mergeCell ref="C80:D80"/>
    <mergeCell ref="F80:G80"/>
    <mergeCell ref="C55:D55"/>
    <mergeCell ref="F55:G55"/>
    <mergeCell ref="F56:G56"/>
    <mergeCell ref="F57:G57"/>
    <mergeCell ref="F58:G58"/>
    <mergeCell ref="F50:G50"/>
    <mergeCell ref="F51:G51"/>
    <mergeCell ref="F52:G52"/>
    <mergeCell ref="F74:G74"/>
    <mergeCell ref="F73:G73"/>
    <mergeCell ref="F83:G83"/>
    <mergeCell ref="F59:G59"/>
    <mergeCell ref="F60:G60"/>
    <mergeCell ref="F84:G84"/>
    <mergeCell ref="F79:G79"/>
    <mergeCell ref="F71:G71"/>
    <mergeCell ref="F70:G70"/>
    <mergeCell ref="F39:G39"/>
    <mergeCell ref="F72:G72"/>
    <mergeCell ref="F65:G65"/>
    <mergeCell ref="C119:D119"/>
    <mergeCell ref="F17:G17"/>
    <mergeCell ref="F20:G20"/>
    <mergeCell ref="F21:G21"/>
    <mergeCell ref="F22:G22"/>
    <mergeCell ref="F23:G23"/>
    <mergeCell ref="F24:G24"/>
    <mergeCell ref="C87:D87"/>
    <mergeCell ref="C90:D90"/>
    <mergeCell ref="C102:D102"/>
    <mergeCell ref="C68:D68"/>
    <mergeCell ref="C71:D71"/>
    <mergeCell ref="C74:D74"/>
    <mergeCell ref="C77:D77"/>
    <mergeCell ref="C86:G86"/>
    <mergeCell ref="C49:D49"/>
    <mergeCell ref="C52:D52"/>
    <mergeCell ref="C67:G67"/>
    <mergeCell ref="F78:G78"/>
    <mergeCell ref="F77:G77"/>
    <mergeCell ref="F76:G76"/>
    <mergeCell ref="F75:G75"/>
    <mergeCell ref="C83:D83"/>
    <mergeCell ref="B37:G37"/>
    <mergeCell ref="F64:G64"/>
    <mergeCell ref="F54:G54"/>
    <mergeCell ref="F53:G53"/>
    <mergeCell ref="F81:G81"/>
    <mergeCell ref="F82:G82"/>
    <mergeCell ref="F61:G61"/>
    <mergeCell ref="F62:G62"/>
    <mergeCell ref="F63:G63"/>
    <mergeCell ref="F69:G69"/>
    <mergeCell ref="F68:G68"/>
    <mergeCell ref="F66:G66"/>
    <mergeCell ref="C38:D38"/>
    <mergeCell ref="F40:G40"/>
    <mergeCell ref="F49:G49"/>
    <mergeCell ref="F38:G38"/>
    <mergeCell ref="F46:G46"/>
    <mergeCell ref="F45:G45"/>
    <mergeCell ref="F44:G44"/>
    <mergeCell ref="F43:G43"/>
    <mergeCell ref="F42:G42"/>
    <mergeCell ref="F41:G41"/>
  </mergeCells>
  <dataValidations count="1">
    <dataValidation type="list" errorStyle="warning" allowBlank="1" showInputMessage="1" showErrorMessage="1" errorTitle="Peringatan" error="No. Absen tidak dikenal. _x000a_Silahkan klik tombol No untuk menghentikan proses dan membetulkan masukan No. Absen." sqref="J15">
      <formula1>$B$132:$B$171</formula1>
    </dataValidation>
  </dataValidations>
  <pageMargins left="0.59055118110236227" right="0.11811023622047245" top="0.55118110236220474" bottom="0.9055118110236221" header="0.31496062992125984" footer="0.31496062992125984"/>
  <pageSetup paperSize="512" scale="90" orientation="portrait" horizontalDpi="4294967293" verticalDpi="300" r:id="rId1"/>
  <headerFooter>
    <oddFooter>&amp;C6676 - 2013/2014</oddFooter>
  </headerFooter>
  <rowBreaks count="6" manualBreakCount="6">
    <brk id="27" min="1" max="6" man="1"/>
    <brk id="40" min="1" max="6" man="1"/>
    <brk id="54" min="1" max="6" man="1"/>
    <brk id="66" min="1" max="6" man="1"/>
    <brk id="79" min="1" max="6" man="1"/>
    <brk id="92" min="1" max="6" man="1"/>
  </rowBreaks>
  <drawing r:id="rId2"/>
  <legacyDrawing r:id="rId3"/>
  <controls>
    <mc:AlternateContent xmlns:mc="http://schemas.openxmlformats.org/markup-compatibility/2006">
      <mc:Choice Requires="x14">
        <control shapeId="10245" r:id="rId4" name="CommandButton2">
          <controlPr defaultSize="0" autoLine="0" r:id="rId5">
            <anchor moveWithCells="1">
              <from>
                <xdr:col>8</xdr:col>
                <xdr:colOff>28575</xdr:colOff>
                <xdr:row>18</xdr:row>
                <xdr:rowOff>209550</xdr:rowOff>
              </from>
              <to>
                <xdr:col>9</xdr:col>
                <xdr:colOff>38100</xdr:colOff>
                <xdr:row>18</xdr:row>
                <xdr:rowOff>657225</xdr:rowOff>
              </to>
            </anchor>
          </controlPr>
        </control>
      </mc:Choice>
      <mc:Fallback>
        <control shapeId="10245" r:id="rId4" name="CommandButton2"/>
      </mc:Fallback>
    </mc:AlternateContent>
    <mc:AlternateContent xmlns:mc="http://schemas.openxmlformats.org/markup-compatibility/2006">
      <mc:Choice Requires="x14">
        <control shapeId="10244" r:id="rId6" name="CommandButton1">
          <controlPr defaultSize="0" autoFill="0" autoLine="0" r:id="rId7">
            <anchor moveWithCells="1">
              <from>
                <xdr:col>7</xdr:col>
                <xdr:colOff>600075</xdr:colOff>
                <xdr:row>16</xdr:row>
                <xdr:rowOff>190500</xdr:rowOff>
              </from>
              <to>
                <xdr:col>9</xdr:col>
                <xdr:colOff>38100</xdr:colOff>
                <xdr:row>18</xdr:row>
                <xdr:rowOff>19050</xdr:rowOff>
              </to>
            </anchor>
          </controlPr>
        </control>
      </mc:Choice>
      <mc:Fallback>
        <control shapeId="10244" r:id="rId6"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FF00"/>
  </sheetPr>
  <dimension ref="B1:DC53"/>
  <sheetViews>
    <sheetView showGridLines="0" showRowColHeaders="0" view="pageBreakPreview" topLeftCell="AO19" zoomScale="73" zoomScaleNormal="110" zoomScaleSheetLayoutView="73" workbookViewId="0">
      <selection activeCell="CS39" sqref="CS39"/>
    </sheetView>
  </sheetViews>
  <sheetFormatPr defaultRowHeight="15" x14ac:dyDescent="0.25"/>
  <cols>
    <col min="1" max="1" width="9.140625" style="136"/>
    <col min="2" max="2" width="5.140625" style="136" customWidth="1"/>
    <col min="3" max="3" width="7.7109375" style="136" customWidth="1"/>
    <col min="4" max="4" width="26.85546875" style="136" bestFit="1" customWidth="1"/>
    <col min="5" max="6" width="4.5703125" style="221" customWidth="1"/>
    <col min="7" max="7" width="4.42578125" style="221" customWidth="1"/>
    <col min="8" max="64" width="5.42578125" style="221" customWidth="1"/>
    <col min="65" max="73" width="5.42578125" style="221" hidden="1" customWidth="1"/>
    <col min="74" max="100" width="5.42578125" style="221" customWidth="1"/>
    <col min="101" max="101" width="10.7109375" style="200" customWidth="1"/>
    <col min="102" max="102" width="5.7109375" style="200" customWidth="1"/>
    <col min="103" max="103" width="10.7109375" style="200" customWidth="1"/>
    <col min="104" max="104" width="5.7109375" style="200" customWidth="1"/>
    <col min="105" max="107" width="5.42578125" style="136" customWidth="1"/>
    <col min="108" max="16384" width="9.140625" style="136"/>
  </cols>
  <sheetData>
    <row r="1" spans="2:107" s="248" customFormat="1" x14ac:dyDescent="0.25">
      <c r="B1" s="544" t="s">
        <v>325</v>
      </c>
      <c r="C1" s="544"/>
      <c r="D1" s="544"/>
      <c r="E1" s="544"/>
      <c r="F1" s="544"/>
      <c r="G1" s="544"/>
      <c r="H1" s="544"/>
      <c r="I1" s="544"/>
      <c r="J1" s="544"/>
      <c r="K1" s="544"/>
      <c r="L1" s="544"/>
      <c r="M1" s="544"/>
      <c r="N1" s="544"/>
      <c r="O1" s="544"/>
      <c r="P1" s="544"/>
      <c r="Q1" s="544"/>
      <c r="R1" s="544"/>
      <c r="S1" s="544"/>
      <c r="T1" s="544"/>
      <c r="U1" s="544"/>
      <c r="V1" s="544"/>
      <c r="W1" s="544"/>
      <c r="X1" s="544"/>
      <c r="Y1" s="544"/>
      <c r="Z1" s="544"/>
      <c r="AA1" s="544"/>
      <c r="AB1" s="544"/>
      <c r="AC1" s="544"/>
      <c r="AD1" s="544"/>
      <c r="AE1" s="544"/>
      <c r="AF1" s="544"/>
      <c r="AG1" s="544"/>
      <c r="AH1" s="544"/>
      <c r="AI1" s="544"/>
      <c r="AJ1" s="544"/>
      <c r="AK1" s="544"/>
      <c r="AL1" s="544"/>
      <c r="AM1" s="544"/>
      <c r="AN1" s="544"/>
      <c r="AO1" s="544"/>
      <c r="AP1" s="544"/>
      <c r="AQ1" s="544"/>
      <c r="AR1" s="544"/>
      <c r="AS1" s="544"/>
      <c r="AT1" s="544"/>
      <c r="AU1" s="544"/>
      <c r="AV1" s="544"/>
      <c r="AW1" s="544"/>
      <c r="AX1" s="544"/>
      <c r="AY1" s="544"/>
      <c r="AZ1" s="544"/>
      <c r="BA1" s="544"/>
      <c r="BB1" s="544"/>
      <c r="BC1" s="544"/>
      <c r="BD1" s="544"/>
      <c r="BE1" s="544"/>
      <c r="BF1" s="544"/>
      <c r="BG1" s="544"/>
      <c r="BH1" s="544"/>
      <c r="BI1" s="544"/>
      <c r="BJ1" s="544"/>
      <c r="BK1" s="544"/>
      <c r="BL1" s="544"/>
      <c r="BM1" s="544"/>
      <c r="BN1" s="544"/>
      <c r="BO1" s="544"/>
      <c r="BP1" s="544"/>
      <c r="BQ1" s="544"/>
      <c r="BR1" s="544"/>
      <c r="BS1" s="544"/>
      <c r="BT1" s="544"/>
      <c r="BU1" s="544"/>
      <c r="BV1" s="544"/>
      <c r="BW1" s="544"/>
      <c r="BX1" s="544"/>
      <c r="BY1" s="544"/>
      <c r="BZ1" s="544"/>
      <c r="CA1" s="544"/>
      <c r="CB1" s="544"/>
      <c r="CC1" s="544"/>
      <c r="CD1" s="544"/>
      <c r="CE1" s="544"/>
      <c r="CF1" s="544"/>
      <c r="CG1" s="544"/>
      <c r="CH1" s="544"/>
      <c r="CI1" s="544"/>
      <c r="CJ1" s="544"/>
      <c r="CK1" s="544"/>
      <c r="CL1" s="544"/>
      <c r="CM1" s="544"/>
      <c r="CN1" s="544"/>
      <c r="CO1" s="544"/>
      <c r="CP1" s="544"/>
      <c r="CQ1" s="544"/>
      <c r="CR1" s="544"/>
      <c r="CS1" s="544"/>
      <c r="CT1" s="544"/>
      <c r="CU1" s="544"/>
      <c r="CV1" s="544"/>
      <c r="CW1" s="544"/>
      <c r="CX1" s="544"/>
      <c r="CY1" s="544"/>
      <c r="CZ1" s="544"/>
      <c r="DA1" s="544"/>
      <c r="DB1" s="544"/>
      <c r="DC1" s="544"/>
    </row>
    <row r="2" spans="2:107" s="248" customFormat="1" x14ac:dyDescent="0.25">
      <c r="B2" s="545" t="str">
        <f>"SEMESTER "&amp;Informasi_Rapot!C27&amp;" TAHUN PELAJARAN "&amp;Informasi_Rapot!C28</f>
        <v>SEMESTER 2 ( Dua ) TAHUN PELAJARAN 2014/2015</v>
      </c>
      <c r="C2" s="545"/>
      <c r="D2" s="545"/>
      <c r="E2" s="545"/>
      <c r="F2" s="545"/>
      <c r="G2" s="545"/>
      <c r="H2" s="545"/>
      <c r="I2" s="545"/>
      <c r="J2" s="545"/>
      <c r="K2" s="545"/>
      <c r="L2" s="545"/>
      <c r="M2" s="545"/>
      <c r="N2" s="545"/>
      <c r="O2" s="545"/>
      <c r="P2" s="545"/>
      <c r="Q2" s="545"/>
      <c r="R2" s="545"/>
      <c r="S2" s="545"/>
      <c r="T2" s="545"/>
      <c r="U2" s="545"/>
      <c r="V2" s="545"/>
      <c r="W2" s="545"/>
      <c r="X2" s="545"/>
      <c r="Y2" s="545"/>
      <c r="Z2" s="545"/>
      <c r="AA2" s="545"/>
      <c r="AB2" s="545"/>
      <c r="AC2" s="545"/>
      <c r="AD2" s="545"/>
      <c r="AE2" s="545"/>
      <c r="AF2" s="545"/>
      <c r="AG2" s="545"/>
      <c r="AH2" s="545"/>
      <c r="AI2" s="545"/>
      <c r="AJ2" s="545"/>
      <c r="AK2" s="545"/>
      <c r="AL2" s="545"/>
      <c r="AM2" s="545"/>
      <c r="AN2" s="545"/>
      <c r="AO2" s="545"/>
      <c r="AP2" s="545"/>
      <c r="AQ2" s="545"/>
      <c r="AR2" s="545"/>
      <c r="AS2" s="545"/>
      <c r="AT2" s="545"/>
      <c r="AU2" s="545"/>
      <c r="AV2" s="545"/>
      <c r="AW2" s="545"/>
      <c r="AX2" s="545"/>
      <c r="AY2" s="545"/>
      <c r="AZ2" s="545"/>
      <c r="BA2" s="545"/>
      <c r="BB2" s="545"/>
      <c r="BC2" s="545"/>
      <c r="BD2" s="545"/>
      <c r="BE2" s="545"/>
      <c r="BF2" s="545"/>
      <c r="BG2" s="545"/>
      <c r="BH2" s="545"/>
      <c r="BI2" s="545"/>
      <c r="BJ2" s="545"/>
      <c r="BK2" s="545"/>
      <c r="BL2" s="545"/>
      <c r="BM2" s="545"/>
      <c r="BN2" s="545"/>
      <c r="BO2" s="545"/>
      <c r="BP2" s="545"/>
      <c r="BQ2" s="545"/>
      <c r="BR2" s="545"/>
      <c r="BS2" s="545"/>
      <c r="BT2" s="545"/>
      <c r="BU2" s="545"/>
      <c r="BV2" s="545"/>
      <c r="BW2" s="545"/>
      <c r="BX2" s="545"/>
      <c r="BY2" s="545"/>
      <c r="BZ2" s="545"/>
      <c r="CA2" s="545"/>
      <c r="CB2" s="545"/>
      <c r="CC2" s="545"/>
      <c r="CD2" s="545"/>
      <c r="CE2" s="545"/>
      <c r="CF2" s="545"/>
      <c r="CG2" s="545"/>
      <c r="CH2" s="545"/>
      <c r="CI2" s="545"/>
      <c r="CJ2" s="545"/>
      <c r="CK2" s="545"/>
      <c r="CL2" s="545"/>
      <c r="CM2" s="545"/>
      <c r="CN2" s="545"/>
      <c r="CO2" s="545"/>
      <c r="CP2" s="545"/>
      <c r="CQ2" s="545"/>
      <c r="CR2" s="545"/>
      <c r="CS2" s="545"/>
      <c r="CT2" s="545"/>
      <c r="CU2" s="545"/>
      <c r="CV2" s="545"/>
      <c r="CW2" s="545"/>
      <c r="CX2" s="545"/>
      <c r="CY2" s="545"/>
      <c r="CZ2" s="545"/>
      <c r="DA2" s="545"/>
      <c r="DB2" s="545"/>
      <c r="DC2" s="545"/>
    </row>
    <row r="3" spans="2:107" s="235" customFormat="1" ht="18.75" x14ac:dyDescent="0.3">
      <c r="B3" s="262" t="str">
        <f>"Kelas :  "&amp;Informasi_Rapot!C25</f>
        <v>Kelas :  XI TKJ 2</v>
      </c>
      <c r="E3" s="236"/>
      <c r="F3" s="236"/>
      <c r="G3" s="236"/>
      <c r="H3" s="236"/>
      <c r="I3" s="236"/>
      <c r="J3" s="236"/>
      <c r="K3" s="236"/>
      <c r="L3" s="236"/>
      <c r="M3" s="236"/>
      <c r="N3" s="236"/>
      <c r="O3" s="236"/>
      <c r="P3" s="236"/>
      <c r="Q3" s="236"/>
      <c r="R3" s="236"/>
      <c r="S3" s="236"/>
      <c r="T3" s="236"/>
      <c r="U3" s="236"/>
      <c r="V3" s="236"/>
      <c r="W3" s="236"/>
      <c r="X3" s="236"/>
      <c r="Y3" s="236"/>
      <c r="Z3" s="236"/>
      <c r="AA3" s="236"/>
      <c r="AB3" s="236"/>
      <c r="AC3" s="236"/>
      <c r="AD3" s="236"/>
      <c r="AE3" s="236"/>
      <c r="AF3" s="236"/>
      <c r="AG3" s="236"/>
      <c r="AH3" s="236"/>
      <c r="AI3" s="236"/>
      <c r="AJ3" s="236"/>
      <c r="AK3" s="236"/>
      <c r="AL3" s="236"/>
      <c r="AM3" s="236"/>
      <c r="AN3" s="236"/>
      <c r="AO3" s="236"/>
      <c r="AP3" s="236"/>
      <c r="AQ3" s="236"/>
      <c r="AR3" s="236"/>
      <c r="AS3" s="236"/>
      <c r="AT3" s="236"/>
      <c r="AU3" s="236"/>
      <c r="AV3" s="236"/>
      <c r="AW3" s="236"/>
      <c r="AX3" s="236"/>
      <c r="AY3" s="236"/>
      <c r="AZ3" s="236"/>
      <c r="BA3" s="236"/>
      <c r="BB3" s="236"/>
      <c r="BC3" s="236"/>
      <c r="BD3" s="236"/>
      <c r="BE3" s="236"/>
      <c r="BF3" s="236"/>
      <c r="BG3" s="236"/>
      <c r="BH3" s="236"/>
      <c r="BI3" s="236"/>
      <c r="BJ3" s="236"/>
      <c r="BK3" s="236"/>
      <c r="BL3" s="236"/>
      <c r="BM3" s="236"/>
      <c r="BN3" s="236"/>
      <c r="BO3" s="236"/>
      <c r="BP3" s="236"/>
      <c r="BQ3" s="236"/>
      <c r="BR3" s="236"/>
      <c r="BS3" s="236"/>
      <c r="BT3" s="236"/>
      <c r="BU3" s="236"/>
      <c r="BV3" s="236"/>
      <c r="BW3" s="236"/>
      <c r="BX3" s="236"/>
      <c r="BY3" s="236"/>
      <c r="BZ3" s="236"/>
      <c r="CA3" s="236"/>
      <c r="CB3" s="236"/>
      <c r="CC3" s="236"/>
      <c r="CD3" s="236"/>
      <c r="CE3" s="236"/>
      <c r="CF3" s="236"/>
      <c r="CG3" s="236"/>
      <c r="CH3" s="236"/>
      <c r="CI3" s="236"/>
      <c r="CJ3" s="236"/>
      <c r="CK3" s="236"/>
      <c r="CL3" s="236"/>
      <c r="CM3" s="236"/>
      <c r="CN3" s="236"/>
      <c r="CO3" s="236"/>
      <c r="CP3" s="236"/>
      <c r="CQ3" s="236"/>
      <c r="CR3" s="236"/>
      <c r="CS3" s="236"/>
      <c r="CT3" s="236"/>
      <c r="CU3" s="236"/>
      <c r="CV3" s="236"/>
      <c r="CW3" s="237"/>
      <c r="CX3" s="237"/>
      <c r="CY3" s="237"/>
      <c r="CZ3" s="237"/>
    </row>
    <row r="4" spans="2:107" s="250" customFormat="1" ht="15" customHeight="1" x14ac:dyDescent="0.25">
      <c r="B4" s="249"/>
      <c r="C4" s="249"/>
      <c r="D4" s="249"/>
      <c r="E4" s="537" t="s">
        <v>185</v>
      </c>
      <c r="F4" s="538"/>
      <c r="G4" s="538"/>
      <c r="H4" s="538"/>
      <c r="I4" s="538"/>
      <c r="J4" s="538"/>
      <c r="K4" s="538"/>
      <c r="L4" s="538"/>
      <c r="M4" s="538"/>
      <c r="N4" s="538"/>
      <c r="O4" s="538"/>
      <c r="P4" s="538"/>
      <c r="Q4" s="538"/>
      <c r="R4" s="538"/>
      <c r="S4" s="538"/>
      <c r="T4" s="538"/>
      <c r="U4" s="538"/>
      <c r="V4" s="539"/>
      <c r="W4" s="540" t="s">
        <v>186</v>
      </c>
      <c r="X4" s="540"/>
      <c r="Y4" s="540"/>
      <c r="Z4" s="540"/>
      <c r="AA4" s="540"/>
      <c r="AB4" s="540"/>
      <c r="AC4" s="540"/>
      <c r="AD4" s="540"/>
      <c r="AE4" s="540"/>
      <c r="AF4" s="534" t="s">
        <v>131</v>
      </c>
      <c r="AG4" s="535"/>
      <c r="AH4" s="535"/>
      <c r="AI4" s="535"/>
      <c r="AJ4" s="535"/>
      <c r="AK4" s="535"/>
      <c r="AL4" s="535"/>
      <c r="AM4" s="535"/>
      <c r="AN4" s="535"/>
      <c r="AO4" s="535"/>
      <c r="AP4" s="535"/>
      <c r="AQ4" s="535"/>
      <c r="AR4" s="535"/>
      <c r="AS4" s="535"/>
      <c r="AT4" s="535"/>
      <c r="AU4" s="535"/>
      <c r="AV4" s="535"/>
      <c r="AW4" s="536"/>
      <c r="AX4" s="534" t="s">
        <v>133</v>
      </c>
      <c r="AY4" s="535"/>
      <c r="AZ4" s="535"/>
      <c r="BA4" s="535"/>
      <c r="BB4" s="535"/>
      <c r="BC4" s="535"/>
      <c r="BD4" s="535"/>
      <c r="BE4" s="535"/>
      <c r="BF4" s="535"/>
      <c r="BG4" s="535"/>
      <c r="BH4" s="535"/>
      <c r="BI4" s="535"/>
      <c r="BJ4" s="535"/>
      <c r="BK4" s="535"/>
      <c r="BL4" s="535"/>
      <c r="BM4" s="535"/>
      <c r="BN4" s="535"/>
      <c r="BO4" s="535"/>
      <c r="BP4" s="535"/>
      <c r="BQ4" s="535"/>
      <c r="BR4" s="535"/>
      <c r="BS4" s="535"/>
      <c r="BT4" s="535"/>
      <c r="BU4" s="535"/>
      <c r="BV4" s="535"/>
      <c r="BW4" s="535"/>
      <c r="BX4" s="536"/>
      <c r="BY4" s="534" t="s">
        <v>135</v>
      </c>
      <c r="BZ4" s="535"/>
      <c r="CA4" s="535"/>
      <c r="CB4" s="535"/>
      <c r="CC4" s="535"/>
      <c r="CD4" s="535"/>
      <c r="CE4" s="535"/>
      <c r="CF4" s="535"/>
      <c r="CG4" s="535"/>
      <c r="CH4" s="535"/>
      <c r="CI4" s="535"/>
      <c r="CJ4" s="535"/>
      <c r="CK4" s="535"/>
      <c r="CL4" s="535"/>
      <c r="CM4" s="535"/>
      <c r="CN4" s="535"/>
      <c r="CO4" s="535"/>
      <c r="CP4" s="536"/>
      <c r="CQ4" s="534" t="s">
        <v>201</v>
      </c>
      <c r="CR4" s="535"/>
      <c r="CS4" s="535"/>
      <c r="CT4" s="535"/>
      <c r="CU4" s="535"/>
      <c r="CV4" s="536"/>
      <c r="CW4" s="540" t="s">
        <v>165</v>
      </c>
      <c r="CX4" s="540"/>
      <c r="CY4" s="540"/>
      <c r="CZ4" s="540"/>
      <c r="DA4" s="543" t="s">
        <v>167</v>
      </c>
      <c r="DB4" s="543"/>
      <c r="DC4" s="543"/>
    </row>
    <row r="5" spans="2:107" s="250" customFormat="1" ht="15" customHeight="1" x14ac:dyDescent="0.25">
      <c r="B5" s="251" t="s">
        <v>18</v>
      </c>
      <c r="C5" s="251" t="s">
        <v>27</v>
      </c>
      <c r="D5" s="251" t="s">
        <v>19</v>
      </c>
      <c r="E5" s="533" t="str">
        <f>Mata_Pelajaran!E4</f>
        <v>Agama</v>
      </c>
      <c r="F5" s="533"/>
      <c r="G5" s="533"/>
      <c r="H5" s="533" t="str">
        <f>Mata_Pelajaran!E5</f>
        <v>PPKn</v>
      </c>
      <c r="I5" s="533"/>
      <c r="J5" s="533"/>
      <c r="K5" s="533" t="str">
        <f>Mata_Pelajaran!E6</f>
        <v>B. Indonesia</v>
      </c>
      <c r="L5" s="533"/>
      <c r="M5" s="533"/>
      <c r="N5" s="533" t="str">
        <f>Mata_Pelajaran!E7</f>
        <v>Matematika</v>
      </c>
      <c r="O5" s="533"/>
      <c r="P5" s="533"/>
      <c r="Q5" s="533" t="str">
        <f>Mata_Pelajaran!E8</f>
        <v>Sejarah</v>
      </c>
      <c r="R5" s="533"/>
      <c r="S5" s="533"/>
      <c r="T5" s="533" t="str">
        <f>Mata_Pelajaran!E9</f>
        <v>B. Inggris</v>
      </c>
      <c r="U5" s="533"/>
      <c r="V5" s="533"/>
      <c r="W5" s="533" t="str">
        <f>Mata_Pelajaran!E11</f>
        <v>Senibud</v>
      </c>
      <c r="X5" s="533"/>
      <c r="Y5" s="533"/>
      <c r="Z5" s="533" t="str">
        <f>Mata_Pelajaran!E12</f>
        <v>PJOK</v>
      </c>
      <c r="AA5" s="533"/>
      <c r="AB5" s="533"/>
      <c r="AC5" s="533" t="str">
        <f>Mata_Pelajaran!E13</f>
        <v>PKWU</v>
      </c>
      <c r="AD5" s="533"/>
      <c r="AE5" s="533"/>
      <c r="AF5" s="533" t="str">
        <f>Mata_Pelajaran!E15</f>
        <v>Fisika</v>
      </c>
      <c r="AG5" s="533"/>
      <c r="AH5" s="533"/>
      <c r="AI5" s="533" t="str">
        <f>Mata_Pelajaran!E16</f>
        <v>Siskom</v>
      </c>
      <c r="AJ5" s="533"/>
      <c r="AK5" s="533"/>
      <c r="AL5" s="533">
        <f>Mata_Pelajaran!E17</f>
        <v>0</v>
      </c>
      <c r="AM5" s="533"/>
      <c r="AN5" s="533"/>
      <c r="AO5" s="533">
        <f>Mata_Pelajaran!E18</f>
        <v>0</v>
      </c>
      <c r="AP5" s="533"/>
      <c r="AQ5" s="533"/>
      <c r="AR5" s="533">
        <f>Mata_Pelajaran!E19</f>
        <v>0</v>
      </c>
      <c r="AS5" s="533"/>
      <c r="AT5" s="533"/>
      <c r="AU5" s="533">
        <f>Mata_Pelajaran!E20</f>
        <v>0</v>
      </c>
      <c r="AV5" s="533"/>
      <c r="AW5" s="533"/>
      <c r="AX5" s="533" t="str">
        <f>Mata_Pelajaran!E21</f>
        <v>KT</v>
      </c>
      <c r="AY5" s="533"/>
      <c r="AZ5" s="533"/>
      <c r="BA5" s="533" t="str">
        <f>Mata_Pelajaran!E22</f>
        <v>RBJ</v>
      </c>
      <c r="BB5" s="533"/>
      <c r="BC5" s="533"/>
      <c r="BD5" s="533" t="str">
        <f>Mata_Pelajaran!E23</f>
        <v>KD</v>
      </c>
      <c r="BE5" s="533"/>
      <c r="BF5" s="533"/>
      <c r="BG5" s="533" t="str">
        <f>Mata_Pelajaran!E24</f>
        <v>PD</v>
      </c>
      <c r="BH5" s="533"/>
      <c r="BI5" s="533"/>
      <c r="BJ5" s="533" t="str">
        <f>Mata_Pelajaran!E25</f>
        <v>AS</v>
      </c>
      <c r="BK5" s="533"/>
      <c r="BL5" s="533"/>
      <c r="BM5" s="533">
        <f>Mata_Pelajaran!E27</f>
        <v>0</v>
      </c>
      <c r="BN5" s="533"/>
      <c r="BO5" s="533"/>
      <c r="BP5" s="533">
        <f>Mata_Pelajaran!E28</f>
        <v>0</v>
      </c>
      <c r="BQ5" s="533"/>
      <c r="BR5" s="533"/>
      <c r="BS5" s="533">
        <f>Mata_Pelajaran!E29</f>
        <v>0</v>
      </c>
      <c r="BT5" s="533"/>
      <c r="BU5" s="533"/>
      <c r="BV5" s="533" t="str">
        <f>Mata_Pelajaran!E26</f>
        <v>SOJ</v>
      </c>
      <c r="BW5" s="533"/>
      <c r="BX5" s="533"/>
      <c r="BY5" s="533">
        <f>Mata_Pelajaran!E27</f>
        <v>0</v>
      </c>
      <c r="BZ5" s="533"/>
      <c r="CA5" s="533"/>
      <c r="CB5" s="533">
        <f>Mata_Pelajaran!E28</f>
        <v>0</v>
      </c>
      <c r="CC5" s="533"/>
      <c r="CD5" s="533"/>
      <c r="CE5" s="533">
        <f>Mata_Pelajaran!E29</f>
        <v>0</v>
      </c>
      <c r="CF5" s="533"/>
      <c r="CG5" s="533"/>
      <c r="CH5" s="533">
        <f>Mata_Pelajaran!E30</f>
        <v>0</v>
      </c>
      <c r="CI5" s="533"/>
      <c r="CJ5" s="533"/>
      <c r="CK5" s="533">
        <f>Mata_Pelajaran!E31</f>
        <v>0</v>
      </c>
      <c r="CL5" s="533"/>
      <c r="CM5" s="533"/>
      <c r="CN5" s="533">
        <f>Mata_Pelajaran!E32</f>
        <v>0</v>
      </c>
      <c r="CO5" s="533"/>
      <c r="CP5" s="533"/>
      <c r="CQ5" s="533" t="str">
        <f>Mata_Pelajaran!E34</f>
        <v>PLH</v>
      </c>
      <c r="CR5" s="533"/>
      <c r="CS5" s="533"/>
      <c r="CT5" s="537">
        <f>Mata_Pelajaran!E35</f>
        <v>0</v>
      </c>
      <c r="CU5" s="538"/>
      <c r="CV5" s="539"/>
      <c r="CW5" s="533" t="s">
        <v>255</v>
      </c>
      <c r="CX5" s="533"/>
      <c r="CY5" s="533" t="s">
        <v>256</v>
      </c>
      <c r="CZ5" s="533"/>
      <c r="DA5" s="541" t="s">
        <v>184</v>
      </c>
      <c r="DB5" s="541" t="s">
        <v>187</v>
      </c>
      <c r="DC5" s="541" t="s">
        <v>188</v>
      </c>
    </row>
    <row r="6" spans="2:107" s="250" customFormat="1" x14ac:dyDescent="0.25">
      <c r="B6" s="252"/>
      <c r="C6" s="252"/>
      <c r="D6" s="252"/>
      <c r="E6" s="253" t="s">
        <v>182</v>
      </c>
      <c r="F6" s="253" t="s">
        <v>183</v>
      </c>
      <c r="G6" s="253" t="s">
        <v>184</v>
      </c>
      <c r="H6" s="253" t="s">
        <v>182</v>
      </c>
      <c r="I6" s="253" t="s">
        <v>183</v>
      </c>
      <c r="J6" s="253" t="s">
        <v>184</v>
      </c>
      <c r="K6" s="253" t="s">
        <v>182</v>
      </c>
      <c r="L6" s="253" t="s">
        <v>183</v>
      </c>
      <c r="M6" s="253" t="s">
        <v>184</v>
      </c>
      <c r="N6" s="253" t="s">
        <v>182</v>
      </c>
      <c r="O6" s="253" t="s">
        <v>183</v>
      </c>
      <c r="P6" s="253" t="s">
        <v>184</v>
      </c>
      <c r="Q6" s="253" t="s">
        <v>182</v>
      </c>
      <c r="R6" s="253" t="s">
        <v>183</v>
      </c>
      <c r="S6" s="253" t="s">
        <v>184</v>
      </c>
      <c r="T6" s="253" t="s">
        <v>182</v>
      </c>
      <c r="U6" s="253" t="s">
        <v>183</v>
      </c>
      <c r="V6" s="253" t="s">
        <v>184</v>
      </c>
      <c r="W6" s="253" t="s">
        <v>182</v>
      </c>
      <c r="X6" s="253" t="s">
        <v>183</v>
      </c>
      <c r="Y6" s="253" t="s">
        <v>184</v>
      </c>
      <c r="Z6" s="253" t="s">
        <v>182</v>
      </c>
      <c r="AA6" s="253" t="s">
        <v>183</v>
      </c>
      <c r="AB6" s="253" t="s">
        <v>184</v>
      </c>
      <c r="AC6" s="253" t="s">
        <v>182</v>
      </c>
      <c r="AD6" s="253" t="s">
        <v>183</v>
      </c>
      <c r="AE6" s="253" t="s">
        <v>184</v>
      </c>
      <c r="AF6" s="253" t="s">
        <v>182</v>
      </c>
      <c r="AG6" s="253" t="s">
        <v>183</v>
      </c>
      <c r="AH6" s="253" t="s">
        <v>184</v>
      </c>
      <c r="AI6" s="253" t="s">
        <v>182</v>
      </c>
      <c r="AJ6" s="253" t="s">
        <v>183</v>
      </c>
      <c r="AK6" s="253" t="s">
        <v>184</v>
      </c>
      <c r="AL6" s="291" t="s">
        <v>182</v>
      </c>
      <c r="AM6" s="291" t="s">
        <v>183</v>
      </c>
      <c r="AN6" s="291" t="s">
        <v>184</v>
      </c>
      <c r="AO6" s="291"/>
      <c r="AP6" s="291"/>
      <c r="AQ6" s="291"/>
      <c r="AR6" s="253" t="s">
        <v>182</v>
      </c>
      <c r="AS6" s="253" t="s">
        <v>183</v>
      </c>
      <c r="AT6" s="253" t="s">
        <v>184</v>
      </c>
      <c r="AU6" s="303" t="s">
        <v>182</v>
      </c>
      <c r="AV6" s="303" t="s">
        <v>183</v>
      </c>
      <c r="AW6" s="303" t="s">
        <v>184</v>
      </c>
      <c r="AX6" s="253" t="s">
        <v>182</v>
      </c>
      <c r="AY6" s="253" t="s">
        <v>183</v>
      </c>
      <c r="AZ6" s="253" t="s">
        <v>184</v>
      </c>
      <c r="BA6" s="253" t="s">
        <v>182</v>
      </c>
      <c r="BB6" s="253" t="s">
        <v>183</v>
      </c>
      <c r="BC6" s="253" t="s">
        <v>184</v>
      </c>
      <c r="BD6" s="253" t="s">
        <v>182</v>
      </c>
      <c r="BE6" s="253" t="s">
        <v>183</v>
      </c>
      <c r="BF6" s="253" t="s">
        <v>184</v>
      </c>
      <c r="BG6" s="253" t="s">
        <v>182</v>
      </c>
      <c r="BH6" s="253" t="s">
        <v>183</v>
      </c>
      <c r="BI6" s="253" t="s">
        <v>184</v>
      </c>
      <c r="BJ6" s="253" t="s">
        <v>182</v>
      </c>
      <c r="BK6" s="253" t="s">
        <v>183</v>
      </c>
      <c r="BL6" s="253" t="s">
        <v>184</v>
      </c>
      <c r="BM6" s="291" t="s">
        <v>182</v>
      </c>
      <c r="BN6" s="291" t="s">
        <v>183</v>
      </c>
      <c r="BO6" s="291" t="s">
        <v>184</v>
      </c>
      <c r="BP6" s="291" t="s">
        <v>182</v>
      </c>
      <c r="BQ6" s="291" t="s">
        <v>183</v>
      </c>
      <c r="BR6" s="291" t="s">
        <v>184</v>
      </c>
      <c r="BS6" s="291" t="s">
        <v>182</v>
      </c>
      <c r="BT6" s="291" t="s">
        <v>183</v>
      </c>
      <c r="BU6" s="291" t="s">
        <v>184</v>
      </c>
      <c r="BV6" s="291" t="s">
        <v>182</v>
      </c>
      <c r="BW6" s="291" t="s">
        <v>183</v>
      </c>
      <c r="BX6" s="291" t="s">
        <v>184</v>
      </c>
      <c r="BY6" s="303" t="s">
        <v>182</v>
      </c>
      <c r="BZ6" s="303" t="s">
        <v>183</v>
      </c>
      <c r="CA6" s="303" t="s">
        <v>184</v>
      </c>
      <c r="CB6" s="303" t="s">
        <v>182</v>
      </c>
      <c r="CC6" s="303" t="s">
        <v>183</v>
      </c>
      <c r="CD6" s="303" t="s">
        <v>184</v>
      </c>
      <c r="CE6" s="303" t="s">
        <v>182</v>
      </c>
      <c r="CF6" s="303" t="s">
        <v>183</v>
      </c>
      <c r="CG6" s="303" t="s">
        <v>184</v>
      </c>
      <c r="CH6" s="303" t="s">
        <v>182</v>
      </c>
      <c r="CI6" s="303" t="s">
        <v>183</v>
      </c>
      <c r="CJ6" s="303" t="s">
        <v>184</v>
      </c>
      <c r="CK6" s="303" t="s">
        <v>182</v>
      </c>
      <c r="CL6" s="303" t="s">
        <v>183</v>
      </c>
      <c r="CM6" s="303" t="s">
        <v>184</v>
      </c>
      <c r="CN6" s="303" t="s">
        <v>182</v>
      </c>
      <c r="CO6" s="303" t="s">
        <v>183</v>
      </c>
      <c r="CP6" s="303" t="s">
        <v>184</v>
      </c>
      <c r="CQ6" s="303" t="s">
        <v>182</v>
      </c>
      <c r="CR6" s="303" t="s">
        <v>183</v>
      </c>
      <c r="CS6" s="303" t="s">
        <v>184</v>
      </c>
      <c r="CT6" s="254" t="s">
        <v>182</v>
      </c>
      <c r="CU6" s="254" t="s">
        <v>183</v>
      </c>
      <c r="CV6" s="254" t="s">
        <v>184</v>
      </c>
      <c r="CW6" s="254" t="s">
        <v>257</v>
      </c>
      <c r="CX6" s="254" t="s">
        <v>118</v>
      </c>
      <c r="CY6" s="254" t="s">
        <v>257</v>
      </c>
      <c r="CZ6" s="254" t="s">
        <v>118</v>
      </c>
      <c r="DA6" s="542"/>
      <c r="DB6" s="542"/>
      <c r="DC6" s="542"/>
    </row>
    <row r="7" spans="2:107" s="234" customFormat="1" x14ac:dyDescent="0.25">
      <c r="B7" s="238">
        <v>1</v>
      </c>
      <c r="C7" s="238" t="str">
        <f>Peserta_Didik!D3</f>
        <v>1314.10.107</v>
      </c>
      <c r="D7" s="238" t="str">
        <f>Peserta_Didik!C3</f>
        <v>Alfa Andeka Aerlangga</v>
      </c>
      <c r="E7" s="255">
        <f>IF(Capaian1!E5&lt;&gt;"",Capaian1!E5,"")</f>
        <v>3.1760000000000002</v>
      </c>
      <c r="F7" s="255">
        <f>IF(Capaian1!F5&lt;&gt;"",Capaian1!F5,"")</f>
        <v>3.36</v>
      </c>
      <c r="G7" s="255" t="str">
        <f>IF(Capaian1!G5&lt;&gt;"",Capaian1!G5,"")</f>
        <v>B</v>
      </c>
      <c r="H7" s="255">
        <f>IF(Capaian1!H5&lt;&gt;"",Capaian1!H5,"")</f>
        <v>3.04</v>
      </c>
      <c r="I7" s="255">
        <f>IF(Capaian1!I5&lt;&gt;"",Capaian1!I5,"")</f>
        <v>3</v>
      </c>
      <c r="J7" s="255" t="str">
        <f>IF(Capaian1!J5&lt;&gt;"",Capaian1!J5,"")</f>
        <v>B</v>
      </c>
      <c r="K7" s="255">
        <f>IF(Capaian1!K5&lt;&gt;"",Capaian1!K5,"")</f>
        <v>3.3360000000000003</v>
      </c>
      <c r="L7" s="255">
        <f>IF(Capaian1!L5&lt;&gt;"",Capaian1!L5,"")</f>
        <v>3.2</v>
      </c>
      <c r="M7" s="255" t="str">
        <f>IF(Capaian1!M5&lt;&gt;"",Capaian1!M5,"")</f>
        <v>B</v>
      </c>
      <c r="N7" s="255">
        <f>IF(Capaian1!N5&lt;&gt;"",Capaian1!N5,"")</f>
        <v>2.5107142857142857</v>
      </c>
      <c r="O7" s="255">
        <f>IF(Capaian1!O5&lt;&gt;"",Capaian1!O5,"")</f>
        <v>2.5725714285714285</v>
      </c>
      <c r="P7" s="255" t="str">
        <f>IF(Capaian1!P5&lt;&gt;"",Capaian1!P5,"")</f>
        <v>B</v>
      </c>
      <c r="Q7" s="255">
        <f>IF(Capaian1!Q5&lt;&gt;"",Capaian1!Q5,"")</f>
        <v>3.2719999999999998</v>
      </c>
      <c r="R7" s="255">
        <f>IF(Capaian1!R5&lt;&gt;"",Capaian1!R5,"")</f>
        <v>3.0666666666666669</v>
      </c>
      <c r="S7" s="255" t="str">
        <f>IF(Capaian1!S5&lt;&gt;"",Capaian1!S5,"")</f>
        <v>B</v>
      </c>
      <c r="T7" s="255">
        <f>IF(Capaian1!T5&lt;&gt;"",Capaian1!T5,"")</f>
        <v>3.2639999999999998</v>
      </c>
      <c r="U7" s="255">
        <f>IF(Capaian1!U5&lt;&gt;"",Capaian1!U5,"")</f>
        <v>3.2439999999999998</v>
      </c>
      <c r="V7" s="255" t="str">
        <f>IF(Capaian1!V5&lt;&gt;"",Capaian1!V5,"")</f>
        <v>B</v>
      </c>
      <c r="W7" s="255">
        <f>IF(Capaian1!W5&lt;&gt;"",Capaian1!W5,"")</f>
        <v>3.2160000000000002</v>
      </c>
      <c r="X7" s="255">
        <f>IF(Capaian1!X5&lt;&gt;"",Capaian1!X5,"")</f>
        <v>3.2160000000000002</v>
      </c>
      <c r="Y7" s="255" t="str">
        <f>IF(Capaian1!Y5&lt;&gt;"",Capaian1!Y5,"")</f>
        <v>B</v>
      </c>
      <c r="Z7" s="255">
        <f>IF(Capaian1!Z5&lt;&gt;"",Capaian1!Z5,"")</f>
        <v>3.04</v>
      </c>
      <c r="AA7" s="255">
        <f>IF(Capaian1!AA5&lt;&gt;"",Capaian1!AA5,"")</f>
        <v>3.1439999999999997</v>
      </c>
      <c r="AB7" s="255" t="str">
        <f>IF(Capaian1!AB5&lt;&gt;"",Capaian1!AB5,"")</f>
        <v>B</v>
      </c>
      <c r="AC7" s="255">
        <f>IF(Capaian1!AC5&lt;&gt;"",Capaian1!AC5,"")</f>
        <v>3.1919999999999997</v>
      </c>
      <c r="AD7" s="255">
        <f>IF(Capaian1!AD5&lt;&gt;"",Capaian1!AD5,"")</f>
        <v>3.24</v>
      </c>
      <c r="AE7" s="255" t="str">
        <f>IF(Capaian1!AE5&lt;&gt;"",Capaian1!AE5,"")</f>
        <v>B</v>
      </c>
      <c r="AF7" s="255">
        <f>IF(Capaian1!AF5&lt;&gt;"",Capaian1!AF5,"")</f>
        <v>2.7880000000000003</v>
      </c>
      <c r="AG7" s="255">
        <f>IF(Capaian1!AG5&lt;&gt;"",Capaian1!AG5,"")</f>
        <v>2.95</v>
      </c>
      <c r="AH7" s="255" t="str">
        <f>IF(Capaian1!AH5&lt;&gt;"",Capaian1!AH5,"")</f>
        <v>B</v>
      </c>
      <c r="AI7" s="255">
        <f>IF(Capaian1!AI5&lt;&gt;"",Capaian1!AI5,"")</f>
        <v>3.0632000000000001</v>
      </c>
      <c r="AJ7" s="255">
        <f>IF(Capaian1!AJ5&lt;&gt;"",Capaian1!AJ5,"")</f>
        <v>3.12</v>
      </c>
      <c r="AK7" s="255" t="str">
        <f>IF(Capaian1!AK5&lt;&gt;"",Capaian1!AK5,"")</f>
        <v>B</v>
      </c>
      <c r="AL7" s="255" t="str">
        <f>IF(Capaian1!AL5&lt;&gt;"",Capaian1!AL5,"")</f>
        <v/>
      </c>
      <c r="AM7" s="255" t="str">
        <f>IF(Capaian1!AM5&lt;&gt;"",Capaian1!AM5,"")</f>
        <v/>
      </c>
      <c r="AN7" s="255" t="str">
        <f>IF(Capaian1!AN5&lt;&gt;"",Capaian1!AN5,"")</f>
        <v/>
      </c>
      <c r="AO7" s="255" t="str">
        <f>IF(Capaian1!AO5&lt;&gt;"",Capaian1!AO5,"")</f>
        <v/>
      </c>
      <c r="AP7" s="255" t="str">
        <f>IF(Capaian1!AP5&lt;&gt;"",Capaian1!AP5,"")</f>
        <v/>
      </c>
      <c r="AQ7" s="255" t="str">
        <f>IF(Capaian1!AQ5&lt;&gt;"",Capaian1!AQ5,"")</f>
        <v/>
      </c>
      <c r="AR7" s="255" t="str">
        <f>IF(Capaian1!AR5&lt;&gt;"",Capaian1!AR5,"")</f>
        <v/>
      </c>
      <c r="AS7" s="255" t="str">
        <f>IF(Capaian1!AS5&lt;&gt;"",Capaian1!AS5,"")</f>
        <v/>
      </c>
      <c r="AT7" s="255" t="str">
        <f>IF(Capaian1!AT5&lt;&gt;"",Capaian1!AT5,"")</f>
        <v/>
      </c>
      <c r="AU7" s="255" t="str">
        <f>IF(Capaian1!AU5&lt;&gt;"",Capaian1!AU5,"")</f>
        <v/>
      </c>
      <c r="AV7" s="255" t="str">
        <f>IF(Capaian1!AV5&lt;&gt;"",Capaian1!AV5,"")</f>
        <v/>
      </c>
      <c r="AW7" s="255" t="str">
        <f>IF(Capaian1!AW5&lt;&gt;"",Capaian1!AW5,"")</f>
        <v/>
      </c>
      <c r="AX7" s="255">
        <f>IF(Capaian1!AX5&lt;&gt;"",Capaian1!AX5,"")</f>
        <v>3.04</v>
      </c>
      <c r="AY7" s="255">
        <f>IF(Capaian1!AY5&lt;&gt;"",Capaian1!AY5,"")</f>
        <v>3</v>
      </c>
      <c r="AZ7" s="255" t="str">
        <f>IF(Capaian1!AZ5&lt;&gt;"",Capaian1!AZ5,"")</f>
        <v>B</v>
      </c>
      <c r="BA7" s="255">
        <f>IF(Capaian1!BA5&lt;&gt;"",Capaian1!BA5,"")</f>
        <v>3.12</v>
      </c>
      <c r="BB7" s="255">
        <f>IF(Capaian1!BB5&lt;&gt;"",Capaian1!BB5,"")</f>
        <v>3.1520000000000006</v>
      </c>
      <c r="BC7" s="255" t="str">
        <f>IF(Capaian1!BC5&lt;&gt;"",Capaian1!BC5,"")</f>
        <v>B</v>
      </c>
      <c r="BD7" s="255">
        <f>IF(Capaian1!BD5&lt;&gt;"",Capaian1!BD5,"")</f>
        <v>3.036</v>
      </c>
      <c r="BE7" s="255">
        <f>IF(Capaian1!BE5&lt;&gt;"",Capaian1!BE5,"")</f>
        <v>3.1004</v>
      </c>
      <c r="BF7" s="255" t="str">
        <f>IF(Capaian1!BF5&lt;&gt;"",Capaian1!BF5,"")</f>
        <v>B</v>
      </c>
      <c r="BG7" s="255">
        <f>IF(Capaian1!BG5&lt;&gt;"",Capaian1!BG5,"")</f>
        <v>2.7466666666666661</v>
      </c>
      <c r="BH7" s="255">
        <f>IF(Capaian1!BH5&lt;&gt;"",Capaian1!BH5,"")</f>
        <v>2.7666666666666662</v>
      </c>
      <c r="BI7" s="255" t="str">
        <f>IF(Capaian1!BI5&lt;&gt;"",Capaian1!BI5,"")</f>
        <v>B</v>
      </c>
      <c r="BJ7" s="255">
        <f>IF(Capaian1!BJ5&lt;&gt;"",Capaian1!BJ5,"")</f>
        <v>2.76</v>
      </c>
      <c r="BK7" s="255">
        <f>IF(Capaian1!BK5&lt;&gt;"",Capaian1!BK5,"")</f>
        <v>2.85</v>
      </c>
      <c r="BL7" s="255" t="str">
        <f>IF(Capaian1!BL5&lt;&gt;"",Capaian1!BL5,"")</f>
        <v>B</v>
      </c>
      <c r="BM7" s="255">
        <f>IF(Capaian1!BM5&lt;&gt;"",Capaian1!BM5,"")</f>
        <v>3.1280000000000001</v>
      </c>
      <c r="BN7" s="255">
        <f>IF(Capaian1!BN5&lt;&gt;"",Capaian1!BN5,"")</f>
        <v>3.1880000000000002</v>
      </c>
      <c r="BO7" s="255" t="str">
        <f>IF(Capaian1!BO5&lt;&gt;"",Capaian1!BO5,"")</f>
        <v>B</v>
      </c>
      <c r="BP7" s="255" t="str">
        <f>IF(Capaian1!BP5&lt;&gt;"",Capaian1!BP5,"")</f>
        <v/>
      </c>
      <c r="BQ7" s="255" t="str">
        <f>IF(Capaian1!BQ5&lt;&gt;"",Capaian1!BQ5,"")</f>
        <v/>
      </c>
      <c r="BR7" s="255" t="str">
        <f>IF(Capaian1!BR5&lt;&gt;"",Capaian1!BR5,"")</f>
        <v/>
      </c>
      <c r="BS7" s="255" t="str">
        <f>IF(Capaian1!BS5&lt;&gt;"",Capaian1!BS5,"")</f>
        <v/>
      </c>
      <c r="BT7" s="255" t="str">
        <f>IF(Capaian1!BT5&lt;&gt;"",Capaian1!BT5,"")</f>
        <v/>
      </c>
      <c r="BU7" s="255" t="str">
        <f>IF(Capaian1!BU5&lt;&gt;"",Capaian1!BU5,"")</f>
        <v/>
      </c>
      <c r="BV7" s="255">
        <f>IF(Capaian1!BM5&lt;&gt;"",Capaian1!BM5,"")</f>
        <v>3.1280000000000001</v>
      </c>
      <c r="BW7" s="255">
        <f>IF(Capaian1!BN5&lt;&gt;"",Capaian1!BN5,"")</f>
        <v>3.1880000000000002</v>
      </c>
      <c r="BX7" s="255" t="str">
        <f>IF(Capaian1!BO5&lt;&gt;"",Capaian1!BO5,"")</f>
        <v>B</v>
      </c>
      <c r="BY7" s="255" t="str">
        <f>IF(Capaian1!BP5&lt;&gt;"",Capaian1!BP5,"")</f>
        <v/>
      </c>
      <c r="BZ7" s="255" t="str">
        <f>IF(Capaian1!BQ5&lt;&gt;"",Capaian1!BQ5,"")</f>
        <v/>
      </c>
      <c r="CA7" s="255" t="str">
        <f>IF(Capaian1!BR5&lt;&gt;"",Capaian1!BR5,"")</f>
        <v/>
      </c>
      <c r="CB7" s="255" t="str">
        <f>IF(Capaian1!BS5&lt;&gt;"",Capaian1!BS5,"")</f>
        <v/>
      </c>
      <c r="CC7" s="255" t="str">
        <f>IF(Capaian1!BT5&lt;&gt;"",Capaian1!BT5,"")</f>
        <v/>
      </c>
      <c r="CD7" s="255" t="str">
        <f>IF(Capaian1!BU5&lt;&gt;"",Capaian1!BU5,"")</f>
        <v/>
      </c>
      <c r="CE7" s="255" t="str">
        <f>IF(Capaian1!BV5&lt;&gt;"",Capaian1!BV5,"")</f>
        <v/>
      </c>
      <c r="CF7" s="255" t="str">
        <f>IF(Capaian1!BW5&lt;&gt;"",Capaian1!BW5,"")</f>
        <v/>
      </c>
      <c r="CG7" s="255" t="str">
        <f>IF(Capaian1!BX5&lt;&gt;"",Capaian1!BX5,"")</f>
        <v/>
      </c>
      <c r="CH7" s="255" t="str">
        <f>IF(Capaian1!BY5&lt;&gt;"",Capaian1!BY5,"")</f>
        <v/>
      </c>
      <c r="CI7" s="255" t="str">
        <f>IF(Capaian1!BZ5&lt;&gt;"",Capaian1!BZ5,"")</f>
        <v/>
      </c>
      <c r="CJ7" s="255" t="str">
        <f>IF(Capaian1!CA5&lt;&gt;"",Capaian1!CA5,"")</f>
        <v/>
      </c>
      <c r="CK7" s="255" t="str">
        <f>IF(Capaian1!CB5&lt;&gt;"",Capaian1!CB5,"")</f>
        <v/>
      </c>
      <c r="CL7" s="255" t="str">
        <f>IF(Capaian1!CC5&lt;&gt;"",Capaian1!CC5,"")</f>
        <v/>
      </c>
      <c r="CM7" s="255" t="str">
        <f>IF(Capaian1!CD5&lt;&gt;"",Capaian1!CD5,"")</f>
        <v/>
      </c>
      <c r="CN7" s="255" t="str">
        <f>IF(Capaian1!CE5&lt;&gt;"",Capaian1!CE5,"")</f>
        <v/>
      </c>
      <c r="CO7" s="255" t="str">
        <f>IF(Capaian1!CF5&lt;&gt;"",Capaian1!CF5,"")</f>
        <v/>
      </c>
      <c r="CP7" s="255" t="str">
        <f>IF(Capaian1!CG5&lt;&gt;"",Capaian1!CG5,"")</f>
        <v/>
      </c>
      <c r="CQ7" s="255">
        <f>IF(Capaian1!CH5&lt;&gt;"",Capaian1!CH5,"")</f>
        <v>3.3533333333333335</v>
      </c>
      <c r="CR7" s="255">
        <f>IF(Capaian1!CI5&lt;&gt;"",Capaian1!CI5,"")</f>
        <v>3.54</v>
      </c>
      <c r="CS7" s="255" t="str">
        <f>IF(Capaian1!CJ5&lt;&gt;"",Capaian1!CJ5,"")</f>
        <v>B</v>
      </c>
      <c r="CT7" s="255" t="str">
        <f>IF(Capaian1!CK5&lt;&gt;"",Capaian1!CK5,"")</f>
        <v/>
      </c>
      <c r="CU7" s="255" t="str">
        <f>IF(Capaian1!CL5&lt;&gt;"",Capaian1!CL5,"")</f>
        <v/>
      </c>
      <c r="CV7" s="255" t="str">
        <f>IF(Capaian1!CM5&lt;&gt;"",Capaian1!CM5,"")</f>
        <v/>
      </c>
      <c r="CW7" s="255" t="str">
        <f>IF(Capaian1!CN5&lt;&gt;"",Capaian1!CN5,"")</f>
        <v/>
      </c>
      <c r="CX7" s="255" t="str">
        <f>IF(Capaian1!CO5&lt;&gt;"",Capaian1!CO5,"")</f>
        <v/>
      </c>
      <c r="CY7" s="255" t="str">
        <f>IF(Capaian1!CP5&lt;&gt;"",Capaian1!CP5,"")</f>
        <v/>
      </c>
      <c r="CZ7" s="255" t="str">
        <f>IF(Capaian1!CQ5&lt;&gt;"",Capaian1!CQ5,"")</f>
        <v/>
      </c>
      <c r="DA7" s="255">
        <f>IF(Capaian1!CR5&lt;&gt;"",Capaian1!CR5,"")</f>
        <v>2</v>
      </c>
      <c r="DB7" s="255">
        <f>IF(Capaian1!CS5&lt;&gt;"",Capaian1!CS5,"")</f>
        <v>0</v>
      </c>
      <c r="DC7" s="255">
        <f>IF(Capaian1!CT5&lt;&gt;"",Capaian1!CT5,"")</f>
        <v>0</v>
      </c>
    </row>
    <row r="8" spans="2:107" s="234" customFormat="1" x14ac:dyDescent="0.25">
      <c r="B8" s="238">
        <v>2</v>
      </c>
      <c r="C8" s="238" t="str">
        <f>Peserta_Didik!D4</f>
        <v>1314.10.108</v>
      </c>
      <c r="D8" s="238" t="str">
        <f>Peserta_Didik!C4</f>
        <v>Andi Setiawan</v>
      </c>
      <c r="E8" s="255">
        <f>IF(Capaian1!E6&lt;&gt;"",Capaian1!E6,"")</f>
        <v>3.7280000000000002</v>
      </c>
      <c r="F8" s="255">
        <f>IF(Capaian1!F6&lt;&gt;"",Capaian1!F6,"")</f>
        <v>3.6</v>
      </c>
      <c r="G8" s="255" t="str">
        <f>IF(Capaian1!G6&lt;&gt;"",Capaian1!G6,"")</f>
        <v>SB</v>
      </c>
      <c r="H8" s="255">
        <f>IF(Capaian1!H6&lt;&gt;"",Capaian1!H6,"")</f>
        <v>3.68</v>
      </c>
      <c r="I8" s="255">
        <f>IF(Capaian1!I6&lt;&gt;"",Capaian1!I6,"")</f>
        <v>3.68</v>
      </c>
      <c r="J8" s="255" t="str">
        <f>IF(Capaian1!J6&lt;&gt;"",Capaian1!J6,"")</f>
        <v>SB</v>
      </c>
      <c r="K8" s="255">
        <f>IF(Capaian1!K6&lt;&gt;"",Capaian1!K6,"")</f>
        <v>3.6960000000000002</v>
      </c>
      <c r="L8" s="255">
        <f>IF(Capaian1!L6&lt;&gt;"",Capaian1!L6,"")</f>
        <v>3.8</v>
      </c>
      <c r="M8" s="255" t="str">
        <f>IF(Capaian1!M6&lt;&gt;"",Capaian1!M6,"")</f>
        <v>SB</v>
      </c>
      <c r="N8" s="255">
        <f>IF(Capaian1!N6&lt;&gt;"",Capaian1!N6,"")</f>
        <v>3.5371428571428574</v>
      </c>
      <c r="O8" s="255">
        <f>IF(Capaian1!O6&lt;&gt;"",Capaian1!O6,"")</f>
        <v>3.52</v>
      </c>
      <c r="P8" s="255" t="str">
        <f>IF(Capaian1!P6&lt;&gt;"",Capaian1!P6,"")</f>
        <v>SB</v>
      </c>
      <c r="Q8" s="255">
        <f>IF(Capaian1!Q6&lt;&gt;"",Capaian1!Q6,"")</f>
        <v>3.4573333333333327</v>
      </c>
      <c r="R8" s="255">
        <f>IF(Capaian1!R6&lt;&gt;"",Capaian1!R6,"")</f>
        <v>3.5533333333333332</v>
      </c>
      <c r="S8" s="255" t="str">
        <f>IF(Capaian1!S6&lt;&gt;"",Capaian1!S6,"")</f>
        <v>B</v>
      </c>
      <c r="T8" s="255">
        <f>IF(Capaian1!T6&lt;&gt;"",Capaian1!T6,"")</f>
        <v>3.2639999999999998</v>
      </c>
      <c r="U8" s="255">
        <f>IF(Capaian1!U6&lt;&gt;"",Capaian1!U6,"")</f>
        <v>3.2439999999999998</v>
      </c>
      <c r="V8" s="255" t="str">
        <f>IF(Capaian1!V6&lt;&gt;"",Capaian1!V6,"")</f>
        <v>SB</v>
      </c>
      <c r="W8" s="255">
        <f>IF(Capaian1!W6&lt;&gt;"",Capaian1!W6,"")</f>
        <v>3.5648</v>
      </c>
      <c r="X8" s="255">
        <f>IF(Capaian1!X6&lt;&gt;"",Capaian1!X6,"")</f>
        <v>3.5639999999999996</v>
      </c>
      <c r="Y8" s="255" t="str">
        <f>IF(Capaian1!Y6&lt;&gt;"",Capaian1!Y6,"")</f>
        <v>B</v>
      </c>
      <c r="Z8" s="255">
        <f>IF(Capaian1!Z6&lt;&gt;"",Capaian1!Z6,"")</f>
        <v>3.2</v>
      </c>
      <c r="AA8" s="255">
        <f>IF(Capaian1!AA6&lt;&gt;"",Capaian1!AA6,"")</f>
        <v>3.1239999999999997</v>
      </c>
      <c r="AB8" s="255" t="str">
        <f>IF(Capaian1!AB6&lt;&gt;"",Capaian1!AB6,"")</f>
        <v>B</v>
      </c>
      <c r="AC8" s="255">
        <f>IF(Capaian1!AC6&lt;&gt;"",Capaian1!AC6,"")</f>
        <v>3.3919999999999999</v>
      </c>
      <c r="AD8" s="255">
        <f>IF(Capaian1!AD6&lt;&gt;"",Capaian1!AD6,"")</f>
        <v>3.3</v>
      </c>
      <c r="AE8" s="255" t="str">
        <f>IF(Capaian1!AE6&lt;&gt;"",Capaian1!AE6,"")</f>
        <v>B</v>
      </c>
      <c r="AF8" s="255">
        <f>IF(Capaian1!AF6&lt;&gt;"",Capaian1!AF6,"")</f>
        <v>3.6710000000000003</v>
      </c>
      <c r="AG8" s="255">
        <f>IF(Capaian1!AG6&lt;&gt;"",Capaian1!AG6,"")</f>
        <v>3.68</v>
      </c>
      <c r="AH8" s="255" t="str">
        <f>IF(Capaian1!AH6&lt;&gt;"",Capaian1!AH6,"")</f>
        <v>SB</v>
      </c>
      <c r="AI8" s="255">
        <f>IF(Capaian1!AI6&lt;&gt;"",Capaian1!AI6,"")</f>
        <v>3.2871999999999999</v>
      </c>
      <c r="AJ8" s="255">
        <f>IF(Capaian1!AJ6&lt;&gt;"",Capaian1!AJ6,"")</f>
        <v>3.2880000000000003</v>
      </c>
      <c r="AK8" s="255" t="str">
        <f>IF(Capaian1!AK6&lt;&gt;"",Capaian1!AK6,"")</f>
        <v>B</v>
      </c>
      <c r="AL8" s="255" t="str">
        <f>IF(Capaian1!AL6&lt;&gt;"",Capaian1!AL6,"")</f>
        <v/>
      </c>
      <c r="AM8" s="255" t="str">
        <f>IF(Capaian1!AM6&lt;&gt;"",Capaian1!AM6,"")</f>
        <v/>
      </c>
      <c r="AN8" s="255" t="str">
        <f>IF(Capaian1!AN6&lt;&gt;"",Capaian1!AN6,"")</f>
        <v/>
      </c>
      <c r="AO8" s="255" t="str">
        <f>IF(Capaian1!AO6&lt;&gt;"",Capaian1!AO6,"")</f>
        <v/>
      </c>
      <c r="AP8" s="255" t="str">
        <f>IF(Capaian1!AP6&lt;&gt;"",Capaian1!AP6,"")</f>
        <v/>
      </c>
      <c r="AQ8" s="255" t="str">
        <f>IF(Capaian1!AQ6&lt;&gt;"",Capaian1!AQ6,"")</f>
        <v/>
      </c>
      <c r="AR8" s="255" t="str">
        <f>IF(Capaian1!AR6&lt;&gt;"",Capaian1!AR6,"")</f>
        <v/>
      </c>
      <c r="AS8" s="255" t="str">
        <f>IF(Capaian1!AS6&lt;&gt;"",Capaian1!AS6,"")</f>
        <v/>
      </c>
      <c r="AT8" s="255" t="str">
        <f>IF(Capaian1!AT6&lt;&gt;"",Capaian1!AT6,"")</f>
        <v/>
      </c>
      <c r="AU8" s="255" t="str">
        <f>IF(Capaian1!AU6&lt;&gt;"",Capaian1!AU6,"")</f>
        <v/>
      </c>
      <c r="AV8" s="255" t="str">
        <f>IF(Capaian1!AV6&lt;&gt;"",Capaian1!AV6,"")</f>
        <v/>
      </c>
      <c r="AW8" s="255" t="str">
        <f>IF(Capaian1!AW6&lt;&gt;"",Capaian1!AW6,"")</f>
        <v/>
      </c>
      <c r="AX8" s="255">
        <f>IF(Capaian1!AX6&lt;&gt;"",Capaian1!AX6,"")</f>
        <v>3.464</v>
      </c>
      <c r="AY8" s="255">
        <f>IF(Capaian1!AY6&lt;&gt;"",Capaian1!AY6,"")</f>
        <v>3.4</v>
      </c>
      <c r="AZ8" s="255" t="str">
        <f>IF(Capaian1!AZ6&lt;&gt;"",Capaian1!AZ6,"")</f>
        <v>SB</v>
      </c>
      <c r="BA8" s="255">
        <f>IF(Capaian1!BA6&lt;&gt;"",Capaian1!BA6,"")</f>
        <v>3.1879999999999997</v>
      </c>
      <c r="BB8" s="255">
        <f>IF(Capaian1!BB6&lt;&gt;"",Capaian1!BB6,"")</f>
        <v>3.2480000000000002</v>
      </c>
      <c r="BC8" s="255" t="str">
        <f>IF(Capaian1!BC6&lt;&gt;"",Capaian1!BC6,"")</f>
        <v>B</v>
      </c>
      <c r="BD8" s="255">
        <f>IF(Capaian1!BD6&lt;&gt;"",Capaian1!BD6,"")</f>
        <v>3.3339999999999996</v>
      </c>
      <c r="BE8" s="255">
        <f>IF(Capaian1!BE6&lt;&gt;"",Capaian1!BE6,"")</f>
        <v>3.5</v>
      </c>
      <c r="BF8" s="255" t="str">
        <f>IF(Capaian1!BF6&lt;&gt;"",Capaian1!BF6,"")</f>
        <v>SB</v>
      </c>
      <c r="BG8" s="255">
        <f>IF(Capaian1!BG6&lt;&gt;"",Capaian1!BG6,"")</f>
        <v>3.2160000000000002</v>
      </c>
      <c r="BH8" s="255">
        <f>IF(Capaian1!BH6&lt;&gt;"",Capaian1!BH6,"")</f>
        <v>3.1</v>
      </c>
      <c r="BI8" s="255" t="str">
        <f>IF(Capaian1!BI6&lt;&gt;"",Capaian1!BI6,"")</f>
        <v>B</v>
      </c>
      <c r="BJ8" s="255">
        <f>IF(Capaian1!BJ6&lt;&gt;"",Capaian1!BJ6,"")</f>
        <v>3.2439999999999998</v>
      </c>
      <c r="BK8" s="255">
        <f>IF(Capaian1!BK6&lt;&gt;"",Capaian1!BK6,"")</f>
        <v>3.5</v>
      </c>
      <c r="BL8" s="255" t="str">
        <f>IF(Capaian1!BL6&lt;&gt;"",Capaian1!BL6,"")</f>
        <v>B</v>
      </c>
      <c r="BM8" s="255">
        <f>IF(Capaian1!BM6&lt;&gt;"",Capaian1!BM6,"")</f>
        <v>3.4679999999999995</v>
      </c>
      <c r="BN8" s="255">
        <f>IF(Capaian1!BN6&lt;&gt;"",Capaian1!BN6,"")</f>
        <v>3.3680000000000003</v>
      </c>
      <c r="BO8" s="255" t="str">
        <f>IF(Capaian1!BO6&lt;&gt;"",Capaian1!BO6,"")</f>
        <v>SB</v>
      </c>
      <c r="BP8" s="255" t="str">
        <f>IF(Capaian1!BP6&lt;&gt;"",Capaian1!BP6,"")</f>
        <v/>
      </c>
      <c r="BQ8" s="255" t="str">
        <f>IF(Capaian1!BQ6&lt;&gt;"",Capaian1!BQ6,"")</f>
        <v/>
      </c>
      <c r="BR8" s="255" t="str">
        <f>IF(Capaian1!BR6&lt;&gt;"",Capaian1!BR6,"")</f>
        <v/>
      </c>
      <c r="BS8" s="255" t="str">
        <f>IF(Capaian1!BS6&lt;&gt;"",Capaian1!BS6,"")</f>
        <v/>
      </c>
      <c r="BT8" s="255" t="str">
        <f>IF(Capaian1!BT6&lt;&gt;"",Capaian1!BT6,"")</f>
        <v/>
      </c>
      <c r="BU8" s="255" t="str">
        <f>IF(Capaian1!BU6&lt;&gt;"",Capaian1!BU6,"")</f>
        <v/>
      </c>
      <c r="BV8" s="255">
        <f>IF(Capaian1!BM6&lt;&gt;"",Capaian1!BM6,"")</f>
        <v>3.4679999999999995</v>
      </c>
      <c r="BW8" s="255">
        <f>IF(Capaian1!BN6&lt;&gt;"",Capaian1!BN6,"")</f>
        <v>3.3680000000000003</v>
      </c>
      <c r="BX8" s="255" t="str">
        <f>IF(Capaian1!BO6&lt;&gt;"",Capaian1!BO6,"")</f>
        <v>SB</v>
      </c>
      <c r="BY8" s="255" t="str">
        <f>IF(Capaian1!BP6&lt;&gt;"",Capaian1!BP6,"")</f>
        <v/>
      </c>
      <c r="BZ8" s="255" t="str">
        <f>IF(Capaian1!BQ6&lt;&gt;"",Capaian1!BQ6,"")</f>
        <v/>
      </c>
      <c r="CA8" s="255" t="str">
        <f>IF(Capaian1!BR6&lt;&gt;"",Capaian1!BR6,"")</f>
        <v/>
      </c>
      <c r="CB8" s="255" t="str">
        <f>IF(Capaian1!BS6&lt;&gt;"",Capaian1!BS6,"")</f>
        <v/>
      </c>
      <c r="CC8" s="255" t="str">
        <f>IF(Capaian1!BT6&lt;&gt;"",Capaian1!BT6,"")</f>
        <v/>
      </c>
      <c r="CD8" s="255" t="str">
        <f>IF(Capaian1!BU6&lt;&gt;"",Capaian1!BU6,"")</f>
        <v/>
      </c>
      <c r="CE8" s="255" t="str">
        <f>IF(Capaian1!BV6&lt;&gt;"",Capaian1!BV6,"")</f>
        <v/>
      </c>
      <c r="CF8" s="255" t="str">
        <f>IF(Capaian1!BW6&lt;&gt;"",Capaian1!BW6,"")</f>
        <v/>
      </c>
      <c r="CG8" s="255" t="str">
        <f>IF(Capaian1!BX6&lt;&gt;"",Capaian1!BX6,"")</f>
        <v/>
      </c>
      <c r="CH8" s="255" t="str">
        <f>IF(Capaian1!BY6&lt;&gt;"",Capaian1!BY6,"")</f>
        <v/>
      </c>
      <c r="CI8" s="255" t="str">
        <f>IF(Capaian1!BZ6&lt;&gt;"",Capaian1!BZ6,"")</f>
        <v/>
      </c>
      <c r="CJ8" s="255" t="str">
        <f>IF(Capaian1!CA6&lt;&gt;"",Capaian1!CA6,"")</f>
        <v/>
      </c>
      <c r="CK8" s="255" t="str">
        <f>IF(Capaian1!CB6&lt;&gt;"",Capaian1!CB6,"")</f>
        <v/>
      </c>
      <c r="CL8" s="255" t="str">
        <f>IF(Capaian1!CC6&lt;&gt;"",Capaian1!CC6,"")</f>
        <v/>
      </c>
      <c r="CM8" s="255" t="str">
        <f>IF(Capaian1!CD6&lt;&gt;"",Capaian1!CD6,"")</f>
        <v/>
      </c>
      <c r="CN8" s="255" t="str">
        <f>IF(Capaian1!CE6&lt;&gt;"",Capaian1!CE6,"")</f>
        <v/>
      </c>
      <c r="CO8" s="255" t="str">
        <f>IF(Capaian1!CF6&lt;&gt;"",Capaian1!CF6,"")</f>
        <v/>
      </c>
      <c r="CP8" s="255" t="str">
        <f>IF(Capaian1!CG6&lt;&gt;"",Capaian1!CG6,"")</f>
        <v/>
      </c>
      <c r="CQ8" s="255">
        <f>IF(Capaian1!CH6&lt;&gt;"",Capaian1!CH6,"")</f>
        <v>3.5266666666666664</v>
      </c>
      <c r="CR8" s="255">
        <f>IF(Capaian1!CI6&lt;&gt;"",Capaian1!CI6,"")</f>
        <v>3.54</v>
      </c>
      <c r="CS8" s="255" t="str">
        <f>IF(Capaian1!CJ6&lt;&gt;"",Capaian1!CJ6,"")</f>
        <v>B</v>
      </c>
      <c r="CT8" s="255" t="str">
        <f>IF(Capaian1!CK6&lt;&gt;"",Capaian1!CK6,"")</f>
        <v/>
      </c>
      <c r="CU8" s="255" t="str">
        <f>IF(Capaian1!CL6&lt;&gt;"",Capaian1!CL6,"")</f>
        <v/>
      </c>
      <c r="CV8" s="255" t="str">
        <f>IF(Capaian1!CM6&lt;&gt;"",Capaian1!CM6,"")</f>
        <v/>
      </c>
      <c r="CW8" s="255" t="str">
        <f>IF(Capaian1!CN6&lt;&gt;"",Capaian1!CN6,"")</f>
        <v/>
      </c>
      <c r="CX8" s="255" t="str">
        <f>IF(Capaian1!CO6&lt;&gt;"",Capaian1!CO6,"")</f>
        <v/>
      </c>
      <c r="CY8" s="255" t="str">
        <f>IF(Capaian1!CP6&lt;&gt;"",Capaian1!CP6,"")</f>
        <v/>
      </c>
      <c r="CZ8" s="255" t="str">
        <f>IF(Capaian1!CQ6&lt;&gt;"",Capaian1!CQ6,"")</f>
        <v/>
      </c>
      <c r="DA8" s="255">
        <f>IF(Capaian1!CR6&lt;&gt;"",Capaian1!CR6,"")</f>
        <v>0</v>
      </c>
      <c r="DB8" s="255">
        <f>IF(Capaian1!CS6&lt;&gt;"",Capaian1!CS6,"")</f>
        <v>0</v>
      </c>
      <c r="DC8" s="255">
        <f>IF(Capaian1!CT6&lt;&gt;"",Capaian1!CT6,"")</f>
        <v>0</v>
      </c>
    </row>
    <row r="9" spans="2:107" s="234" customFormat="1" x14ac:dyDescent="0.25">
      <c r="B9" s="238">
        <v>3</v>
      </c>
      <c r="C9" s="238" t="str">
        <f>Peserta_Didik!D5</f>
        <v>1314.10.109</v>
      </c>
      <c r="D9" s="238" t="str">
        <f>Peserta_Didik!C5</f>
        <v>Andreas Rizki Rizaldi</v>
      </c>
      <c r="E9" s="255">
        <f>IF(Capaian1!E7&lt;&gt;"",Capaian1!E7,"")</f>
        <v>3.2880000000000003</v>
      </c>
      <c r="F9" s="255">
        <f>IF(Capaian1!F7&lt;&gt;"",Capaian1!F7,"")</f>
        <v>3.44</v>
      </c>
      <c r="G9" s="255" t="str">
        <f>IF(Capaian1!G7&lt;&gt;"",Capaian1!G7,"")</f>
        <v>B</v>
      </c>
      <c r="H9" s="255">
        <f>IF(Capaian1!H7&lt;&gt;"",Capaian1!H7,"")</f>
        <v>3.1439999999999997</v>
      </c>
      <c r="I9" s="255">
        <f>IF(Capaian1!I7&lt;&gt;"",Capaian1!I7,"")</f>
        <v>3.3</v>
      </c>
      <c r="J9" s="255" t="str">
        <f>IF(Capaian1!J7&lt;&gt;"",Capaian1!J7,"")</f>
        <v>B</v>
      </c>
      <c r="K9" s="255">
        <f>IF(Capaian1!K7&lt;&gt;"",Capaian1!K7,"")</f>
        <v>3.6719999999999997</v>
      </c>
      <c r="L9" s="255">
        <f>IF(Capaian1!L7&lt;&gt;"",Capaian1!L7,"")</f>
        <v>3.4</v>
      </c>
      <c r="M9" s="255" t="str">
        <f>IF(Capaian1!M7&lt;&gt;"",Capaian1!M7,"")</f>
        <v>SB</v>
      </c>
      <c r="N9" s="255">
        <f>IF(Capaian1!N7&lt;&gt;"",Capaian1!N7,"")</f>
        <v>2.8364285714285713</v>
      </c>
      <c r="O9" s="255">
        <f>IF(Capaian1!O7&lt;&gt;"",Capaian1!O7,"")</f>
        <v>2.9478095238095237</v>
      </c>
      <c r="P9" s="255" t="str">
        <f>IF(Capaian1!P7&lt;&gt;"",Capaian1!P7,"")</f>
        <v>B</v>
      </c>
      <c r="Q9" s="255">
        <f>IF(Capaian1!Q7&lt;&gt;"",Capaian1!Q7,"")</f>
        <v>3.2159999999999997</v>
      </c>
      <c r="R9" s="255">
        <f>IF(Capaian1!R7&lt;&gt;"",Capaian1!R7,"")</f>
        <v>3.22</v>
      </c>
      <c r="S9" s="255" t="str">
        <f>IF(Capaian1!S7&lt;&gt;"",Capaian1!S7,"")</f>
        <v>B</v>
      </c>
      <c r="T9" s="255">
        <f>IF(Capaian1!T7&lt;&gt;"",Capaian1!T7,"")</f>
        <v>3.2639999999999998</v>
      </c>
      <c r="U9" s="255">
        <f>IF(Capaian1!U7&lt;&gt;"",Capaian1!U7,"")</f>
        <v>3.2439999999999998</v>
      </c>
      <c r="V9" s="255" t="str">
        <f>IF(Capaian1!V7&lt;&gt;"",Capaian1!V7,"")</f>
        <v>SB</v>
      </c>
      <c r="W9" s="255">
        <f>IF(Capaian1!W7&lt;&gt;"",Capaian1!W7,"")</f>
        <v>3.2608000000000006</v>
      </c>
      <c r="X9" s="255">
        <f>IF(Capaian1!X7&lt;&gt;"",Capaian1!X7,"")</f>
        <v>3.28</v>
      </c>
      <c r="Y9" s="255" t="str">
        <f>IF(Capaian1!Y7&lt;&gt;"",Capaian1!Y7,"")</f>
        <v>B</v>
      </c>
      <c r="Z9" s="255">
        <f>IF(Capaian1!Z7&lt;&gt;"",Capaian1!Z7,"")</f>
        <v>3.28</v>
      </c>
      <c r="AA9" s="255">
        <f>IF(Capaian1!AA7&lt;&gt;"",Capaian1!AA7,"")</f>
        <v>3.38</v>
      </c>
      <c r="AB9" s="255" t="str">
        <f>IF(Capaian1!AB7&lt;&gt;"",Capaian1!AB7,"")</f>
        <v>B</v>
      </c>
      <c r="AC9" s="255">
        <f>IF(Capaian1!AC7&lt;&gt;"",Capaian1!AC7,"")</f>
        <v>3.2639999999999998</v>
      </c>
      <c r="AD9" s="255">
        <f>IF(Capaian1!AD7&lt;&gt;"",Capaian1!AD7,"")</f>
        <v>3.3</v>
      </c>
      <c r="AE9" s="255" t="str">
        <f>IF(Capaian1!AE7&lt;&gt;"",Capaian1!AE7,"")</f>
        <v>B</v>
      </c>
      <c r="AF9" s="255">
        <f>IF(Capaian1!AF7&lt;&gt;"",Capaian1!AF7,"")</f>
        <v>3.0920000000000001</v>
      </c>
      <c r="AG9" s="255">
        <f>IF(Capaian1!AG7&lt;&gt;"",Capaian1!AG7,"")</f>
        <v>3.05</v>
      </c>
      <c r="AH9" s="255" t="str">
        <f>IF(Capaian1!AH7&lt;&gt;"",Capaian1!AH7,"")</f>
        <v>B</v>
      </c>
      <c r="AI9" s="255">
        <f>IF(Capaian1!AI7&lt;&gt;"",Capaian1!AI7,"")</f>
        <v>3.2986</v>
      </c>
      <c r="AJ9" s="255">
        <f>IF(Capaian1!AJ7&lt;&gt;"",Capaian1!AJ7,"")</f>
        <v>3.2960000000000003</v>
      </c>
      <c r="AK9" s="255" t="str">
        <f>IF(Capaian1!AK7&lt;&gt;"",Capaian1!AK7,"")</f>
        <v>B</v>
      </c>
      <c r="AL9" s="255" t="str">
        <f>IF(Capaian1!AL7&lt;&gt;"",Capaian1!AL7,"")</f>
        <v/>
      </c>
      <c r="AM9" s="255" t="str">
        <f>IF(Capaian1!AM7&lt;&gt;"",Capaian1!AM7,"")</f>
        <v/>
      </c>
      <c r="AN9" s="255" t="str">
        <f>IF(Capaian1!AN7&lt;&gt;"",Capaian1!AN7,"")</f>
        <v/>
      </c>
      <c r="AO9" s="255" t="str">
        <f>IF(Capaian1!AO7&lt;&gt;"",Capaian1!AO7,"")</f>
        <v/>
      </c>
      <c r="AP9" s="255" t="str">
        <f>IF(Capaian1!AP7&lt;&gt;"",Capaian1!AP7,"")</f>
        <v/>
      </c>
      <c r="AQ9" s="255" t="str">
        <f>IF(Capaian1!AQ7&lt;&gt;"",Capaian1!AQ7,"")</f>
        <v/>
      </c>
      <c r="AR9" s="255" t="str">
        <f>IF(Capaian1!AR7&lt;&gt;"",Capaian1!AR7,"")</f>
        <v/>
      </c>
      <c r="AS9" s="255" t="str">
        <f>IF(Capaian1!AS7&lt;&gt;"",Capaian1!AS7,"")</f>
        <v/>
      </c>
      <c r="AT9" s="255" t="str">
        <f>IF(Capaian1!AT7&lt;&gt;"",Capaian1!AT7,"")</f>
        <v/>
      </c>
      <c r="AU9" s="255" t="str">
        <f>IF(Capaian1!AU7&lt;&gt;"",Capaian1!AU7,"")</f>
        <v/>
      </c>
      <c r="AV9" s="255" t="str">
        <f>IF(Capaian1!AV7&lt;&gt;"",Capaian1!AV7,"")</f>
        <v/>
      </c>
      <c r="AW9" s="255" t="str">
        <f>IF(Capaian1!AW7&lt;&gt;"",Capaian1!AW7,"")</f>
        <v/>
      </c>
      <c r="AX9" s="255">
        <f>IF(Capaian1!AX7&lt;&gt;"",Capaian1!AX7,"")</f>
        <v>3.1439999999999997</v>
      </c>
      <c r="AY9" s="255">
        <f>IF(Capaian1!AY7&lt;&gt;"",Capaian1!AY7,"")</f>
        <v>3.3</v>
      </c>
      <c r="AZ9" s="255" t="str">
        <f>IF(Capaian1!AZ7&lt;&gt;"",Capaian1!AZ7,"")</f>
        <v>B</v>
      </c>
      <c r="BA9" s="255">
        <f>IF(Capaian1!BA7&lt;&gt;"",Capaian1!BA7,"")</f>
        <v>3.2856000000000005</v>
      </c>
      <c r="BB9" s="255">
        <f>IF(Capaian1!BB7&lt;&gt;"",Capaian1!BB7,"")</f>
        <v>3.3280000000000003</v>
      </c>
      <c r="BC9" s="255" t="str">
        <f>IF(Capaian1!BC7&lt;&gt;"",Capaian1!BC7,"")</f>
        <v>B</v>
      </c>
      <c r="BD9" s="255">
        <f>IF(Capaian1!BD7&lt;&gt;"",Capaian1!BD7,"")</f>
        <v>3.2680000000000002</v>
      </c>
      <c r="BE9" s="255">
        <f>IF(Capaian1!BE7&lt;&gt;"",Capaian1!BE7,"")</f>
        <v>3.3868</v>
      </c>
      <c r="BF9" s="255" t="str">
        <f>IF(Capaian1!BF7&lt;&gt;"",Capaian1!BF7,"")</f>
        <v>B</v>
      </c>
      <c r="BG9" s="255">
        <f>IF(Capaian1!BG7&lt;&gt;"",Capaian1!BG7,"")</f>
        <v>3.2026666666666666</v>
      </c>
      <c r="BH9" s="255">
        <f>IF(Capaian1!BH7&lt;&gt;"",Capaian1!BH7,"")</f>
        <v>3.3266666666666662</v>
      </c>
      <c r="BI9" s="255" t="str">
        <f>IF(Capaian1!BI7&lt;&gt;"",Capaian1!BI7,"")</f>
        <v>B</v>
      </c>
      <c r="BJ9" s="255">
        <f>IF(Capaian1!BJ7&lt;&gt;"",Capaian1!BJ7,"")</f>
        <v>3.32</v>
      </c>
      <c r="BK9" s="255">
        <f>IF(Capaian1!BK7&lt;&gt;"",Capaian1!BK7,"")</f>
        <v>3.6</v>
      </c>
      <c r="BL9" s="255" t="str">
        <f>IF(Capaian1!BL7&lt;&gt;"",Capaian1!BL7,"")</f>
        <v>B</v>
      </c>
      <c r="BM9" s="255">
        <f>IF(Capaian1!BM7&lt;&gt;"",Capaian1!BM7,"")</f>
        <v>3.3879999999999995</v>
      </c>
      <c r="BN9" s="255">
        <f>IF(Capaian1!BN7&lt;&gt;"",Capaian1!BN7,"")</f>
        <v>3.4019999999999997</v>
      </c>
      <c r="BO9" s="255" t="str">
        <f>IF(Capaian1!BO7&lt;&gt;"",Capaian1!BO7,"")</f>
        <v>B</v>
      </c>
      <c r="BP9" s="255" t="str">
        <f>IF(Capaian1!BP7&lt;&gt;"",Capaian1!BP7,"")</f>
        <v/>
      </c>
      <c r="BQ9" s="255" t="str">
        <f>IF(Capaian1!BQ7&lt;&gt;"",Capaian1!BQ7,"")</f>
        <v/>
      </c>
      <c r="BR9" s="255" t="str">
        <f>IF(Capaian1!BR7&lt;&gt;"",Capaian1!BR7,"")</f>
        <v/>
      </c>
      <c r="BS9" s="255" t="str">
        <f>IF(Capaian1!BS7&lt;&gt;"",Capaian1!BS7,"")</f>
        <v/>
      </c>
      <c r="BT9" s="255" t="str">
        <f>IF(Capaian1!BT7&lt;&gt;"",Capaian1!BT7,"")</f>
        <v/>
      </c>
      <c r="BU9" s="255" t="str">
        <f>IF(Capaian1!BU7&lt;&gt;"",Capaian1!BU7,"")</f>
        <v/>
      </c>
      <c r="BV9" s="255">
        <f>IF(Capaian1!BM7&lt;&gt;"",Capaian1!BM7,"")</f>
        <v>3.3879999999999995</v>
      </c>
      <c r="BW9" s="255">
        <f>IF(Capaian1!BN7&lt;&gt;"",Capaian1!BN7,"")</f>
        <v>3.4019999999999997</v>
      </c>
      <c r="BX9" s="255" t="str">
        <f>IF(Capaian1!BO7&lt;&gt;"",Capaian1!BO7,"")</f>
        <v>B</v>
      </c>
      <c r="BY9" s="255" t="str">
        <f>IF(Capaian1!BP7&lt;&gt;"",Capaian1!BP7,"")</f>
        <v/>
      </c>
      <c r="BZ9" s="255" t="str">
        <f>IF(Capaian1!BQ7&lt;&gt;"",Capaian1!BQ7,"")</f>
        <v/>
      </c>
      <c r="CA9" s="255" t="str">
        <f>IF(Capaian1!BR7&lt;&gt;"",Capaian1!BR7,"")</f>
        <v/>
      </c>
      <c r="CB9" s="255" t="str">
        <f>IF(Capaian1!BS7&lt;&gt;"",Capaian1!BS7,"")</f>
        <v/>
      </c>
      <c r="CC9" s="255" t="str">
        <f>IF(Capaian1!BT7&lt;&gt;"",Capaian1!BT7,"")</f>
        <v/>
      </c>
      <c r="CD9" s="255" t="str">
        <f>IF(Capaian1!BU7&lt;&gt;"",Capaian1!BU7,"")</f>
        <v/>
      </c>
      <c r="CE9" s="255" t="str">
        <f>IF(Capaian1!BV7&lt;&gt;"",Capaian1!BV7,"")</f>
        <v/>
      </c>
      <c r="CF9" s="255" t="str">
        <f>IF(Capaian1!BW7&lt;&gt;"",Capaian1!BW7,"")</f>
        <v/>
      </c>
      <c r="CG9" s="255" t="str">
        <f>IF(Capaian1!BX7&lt;&gt;"",Capaian1!BX7,"")</f>
        <v/>
      </c>
      <c r="CH9" s="255" t="str">
        <f>IF(Capaian1!BY7&lt;&gt;"",Capaian1!BY7,"")</f>
        <v/>
      </c>
      <c r="CI9" s="255" t="str">
        <f>IF(Capaian1!BZ7&lt;&gt;"",Capaian1!BZ7,"")</f>
        <v/>
      </c>
      <c r="CJ9" s="255" t="str">
        <f>IF(Capaian1!CA7&lt;&gt;"",Capaian1!CA7,"")</f>
        <v/>
      </c>
      <c r="CK9" s="255" t="str">
        <f>IF(Capaian1!CB7&lt;&gt;"",Capaian1!CB7,"")</f>
        <v/>
      </c>
      <c r="CL9" s="255" t="str">
        <f>IF(Capaian1!CC7&lt;&gt;"",Capaian1!CC7,"")</f>
        <v/>
      </c>
      <c r="CM9" s="255" t="str">
        <f>IF(Capaian1!CD7&lt;&gt;"",Capaian1!CD7,"")</f>
        <v/>
      </c>
      <c r="CN9" s="255" t="str">
        <f>IF(Capaian1!CE7&lt;&gt;"",Capaian1!CE7,"")</f>
        <v/>
      </c>
      <c r="CO9" s="255" t="str">
        <f>IF(Capaian1!CF7&lt;&gt;"",Capaian1!CF7,"")</f>
        <v/>
      </c>
      <c r="CP9" s="255" t="str">
        <f>IF(Capaian1!CG7&lt;&gt;"",Capaian1!CG7,"")</f>
        <v/>
      </c>
      <c r="CQ9" s="255">
        <f>IF(Capaian1!CH7&lt;&gt;"",Capaian1!CH7,"")</f>
        <v>3.4066666666666663</v>
      </c>
      <c r="CR9" s="255">
        <f>IF(Capaian1!CI7&lt;&gt;"",Capaian1!CI7,"")</f>
        <v>3.7</v>
      </c>
      <c r="CS9" s="255" t="str">
        <f>IF(Capaian1!CJ7&lt;&gt;"",Capaian1!CJ7,"")</f>
        <v>B</v>
      </c>
      <c r="CT9" s="255" t="str">
        <f>IF(Capaian1!CK7&lt;&gt;"",Capaian1!CK7,"")</f>
        <v/>
      </c>
      <c r="CU9" s="255" t="str">
        <f>IF(Capaian1!CL7&lt;&gt;"",Capaian1!CL7,"")</f>
        <v/>
      </c>
      <c r="CV9" s="255" t="str">
        <f>IF(Capaian1!CM7&lt;&gt;"",Capaian1!CM7,"")</f>
        <v/>
      </c>
      <c r="CW9" s="255" t="str">
        <f>IF(Capaian1!CN7&lt;&gt;"",Capaian1!CN7,"")</f>
        <v/>
      </c>
      <c r="CX9" s="255" t="str">
        <f>IF(Capaian1!CO7&lt;&gt;"",Capaian1!CO7,"")</f>
        <v/>
      </c>
      <c r="CY9" s="255" t="str">
        <f>IF(Capaian1!CP7&lt;&gt;"",Capaian1!CP7,"")</f>
        <v/>
      </c>
      <c r="CZ9" s="255" t="str">
        <f>IF(Capaian1!CQ7&lt;&gt;"",Capaian1!CQ7,"")</f>
        <v/>
      </c>
      <c r="DA9" s="255">
        <f>IF(Capaian1!CR7&lt;&gt;"",Capaian1!CR7,"")</f>
        <v>3</v>
      </c>
      <c r="DB9" s="255">
        <f>IF(Capaian1!CS7&lt;&gt;"",Capaian1!CS7,"")</f>
        <v>1</v>
      </c>
      <c r="DC9" s="255">
        <f>IF(Capaian1!CT7&lt;&gt;"",Capaian1!CT7,"")</f>
        <v>0</v>
      </c>
    </row>
    <row r="10" spans="2:107" s="234" customFormat="1" x14ac:dyDescent="0.25">
      <c r="B10" s="238">
        <v>4</v>
      </c>
      <c r="C10" s="238" t="str">
        <f>Peserta_Didik!D6</f>
        <v>1314.10.110</v>
      </c>
      <c r="D10" s="238" t="str">
        <f>Peserta_Didik!C6</f>
        <v>Arif Setya Permana</v>
      </c>
      <c r="E10" s="255">
        <f>IF(Capaian1!E8&lt;&gt;"",Capaian1!E8,"")</f>
        <v>3.2560000000000002</v>
      </c>
      <c r="F10" s="255">
        <f>IF(Capaian1!F8&lt;&gt;"",Capaian1!F8,"")</f>
        <v>3.34</v>
      </c>
      <c r="G10" s="255" t="str">
        <f>IF(Capaian1!G8&lt;&gt;"",Capaian1!G8,"")</f>
        <v>B</v>
      </c>
      <c r="H10" s="255">
        <f>IF(Capaian1!H8&lt;&gt;"",Capaian1!H8,"")</f>
        <v>3.32</v>
      </c>
      <c r="I10" s="255">
        <f>IF(Capaian1!I8&lt;&gt;"",Capaian1!I8,"")</f>
        <v>3.4</v>
      </c>
      <c r="J10" s="255" t="str">
        <f>IF(Capaian1!J8&lt;&gt;"",Capaian1!J8,"")</f>
        <v>B</v>
      </c>
      <c r="K10" s="255">
        <f>IF(Capaian1!K8&lt;&gt;"",Capaian1!K8,"")</f>
        <v>3.6719999999999997</v>
      </c>
      <c r="L10" s="255">
        <f>IF(Capaian1!L8&lt;&gt;"",Capaian1!L8,"")</f>
        <v>3.4</v>
      </c>
      <c r="M10" s="255" t="str">
        <f>IF(Capaian1!M8&lt;&gt;"",Capaian1!M8,"")</f>
        <v>B</v>
      </c>
      <c r="N10" s="255">
        <f>IF(Capaian1!N8&lt;&gt;"",Capaian1!N8,"")</f>
        <v>2.5314285714285716</v>
      </c>
      <c r="O10" s="255">
        <f>IF(Capaian1!O8&lt;&gt;"",Capaian1!O8,"")</f>
        <v>2.601142857142857</v>
      </c>
      <c r="P10" s="255" t="str">
        <f>IF(Capaian1!P8&lt;&gt;"",Capaian1!P8,"")</f>
        <v>B</v>
      </c>
      <c r="Q10" s="255">
        <f>IF(Capaian1!Q8&lt;&gt;"",Capaian1!Q8,"")</f>
        <v>3.0333333333333332</v>
      </c>
      <c r="R10" s="255">
        <f>IF(Capaian1!R8&lt;&gt;"",Capaian1!R8,"")</f>
        <v>3.2333333333333329</v>
      </c>
      <c r="S10" s="255" t="str">
        <f>IF(Capaian1!S8&lt;&gt;"",Capaian1!S8,"")</f>
        <v>B</v>
      </c>
      <c r="T10" s="255">
        <f>IF(Capaian1!T8&lt;&gt;"",Capaian1!T8,"")</f>
        <v>3.2640000000000002</v>
      </c>
      <c r="U10" s="255">
        <f>IF(Capaian1!U8&lt;&gt;"",Capaian1!U8,"")</f>
        <v>3.2439999999999998</v>
      </c>
      <c r="V10" s="255" t="str">
        <f>IF(Capaian1!V8&lt;&gt;"",Capaian1!V8,"")</f>
        <v>B</v>
      </c>
      <c r="W10" s="255">
        <f>IF(Capaian1!W8&lt;&gt;"",Capaian1!W8,"")</f>
        <v>3.2815999999999996</v>
      </c>
      <c r="X10" s="255">
        <f>IF(Capaian1!X8&lt;&gt;"",Capaian1!X8,"")</f>
        <v>3.2960000000000003</v>
      </c>
      <c r="Y10" s="255" t="str">
        <f>IF(Capaian1!Y8&lt;&gt;"",Capaian1!Y8,"")</f>
        <v>B</v>
      </c>
      <c r="Z10" s="255">
        <f>IF(Capaian1!Z8&lt;&gt;"",Capaian1!Z8,"")</f>
        <v>3.44</v>
      </c>
      <c r="AA10" s="255">
        <f>IF(Capaian1!AA8&lt;&gt;"",Capaian1!AA8,"")</f>
        <v>3.359</v>
      </c>
      <c r="AB10" s="255" t="str">
        <f>IF(Capaian1!AB8&lt;&gt;"",Capaian1!AB8,"")</f>
        <v>B</v>
      </c>
      <c r="AC10" s="255">
        <f>IF(Capaian1!AC8&lt;&gt;"",Capaian1!AC8,"")</f>
        <v>3.2</v>
      </c>
      <c r="AD10" s="255">
        <f>IF(Capaian1!AD8&lt;&gt;"",Capaian1!AD8,"")</f>
        <v>3.28</v>
      </c>
      <c r="AE10" s="255" t="str">
        <f>IF(Capaian1!AE8&lt;&gt;"",Capaian1!AE8,"")</f>
        <v>B</v>
      </c>
      <c r="AF10" s="255">
        <f>IF(Capaian1!AF8&lt;&gt;"",Capaian1!AF8,"")</f>
        <v>2.87</v>
      </c>
      <c r="AG10" s="255">
        <f>IF(Capaian1!AG8&lt;&gt;"",Capaian1!AG8,"")</f>
        <v>3.05</v>
      </c>
      <c r="AH10" s="255" t="str">
        <f>IF(Capaian1!AH8&lt;&gt;"",Capaian1!AH8,"")</f>
        <v>SB</v>
      </c>
      <c r="AI10" s="255">
        <f>IF(Capaian1!AI8&lt;&gt;"",Capaian1!AI8,"")</f>
        <v>3.1360000000000001</v>
      </c>
      <c r="AJ10" s="255">
        <f>IF(Capaian1!AJ8&lt;&gt;"",Capaian1!AJ8,"")</f>
        <v>3.1920000000000006</v>
      </c>
      <c r="AK10" s="255" t="str">
        <f>IF(Capaian1!AK8&lt;&gt;"",Capaian1!AK8,"")</f>
        <v>B</v>
      </c>
      <c r="AL10" s="255" t="str">
        <f>IF(Capaian1!AL8&lt;&gt;"",Capaian1!AL8,"")</f>
        <v/>
      </c>
      <c r="AM10" s="255" t="str">
        <f>IF(Capaian1!AM8&lt;&gt;"",Capaian1!AM8,"")</f>
        <v/>
      </c>
      <c r="AN10" s="255" t="str">
        <f>IF(Capaian1!AN8&lt;&gt;"",Capaian1!AN8,"")</f>
        <v/>
      </c>
      <c r="AO10" s="255" t="str">
        <f>IF(Capaian1!AO8&lt;&gt;"",Capaian1!AO8,"")</f>
        <v/>
      </c>
      <c r="AP10" s="255" t="str">
        <f>IF(Capaian1!AP8&lt;&gt;"",Capaian1!AP8,"")</f>
        <v/>
      </c>
      <c r="AQ10" s="255" t="str">
        <f>IF(Capaian1!AQ8&lt;&gt;"",Capaian1!AQ8,"")</f>
        <v/>
      </c>
      <c r="AR10" s="255" t="str">
        <f>IF(Capaian1!AR8&lt;&gt;"",Capaian1!AR8,"")</f>
        <v/>
      </c>
      <c r="AS10" s="255" t="str">
        <f>IF(Capaian1!AS8&lt;&gt;"",Capaian1!AS8,"")</f>
        <v/>
      </c>
      <c r="AT10" s="255" t="str">
        <f>IF(Capaian1!AT8&lt;&gt;"",Capaian1!AT8,"")</f>
        <v/>
      </c>
      <c r="AU10" s="255" t="str">
        <f>IF(Capaian1!AU8&lt;&gt;"",Capaian1!AU8,"")</f>
        <v/>
      </c>
      <c r="AV10" s="255" t="str">
        <f>IF(Capaian1!AV8&lt;&gt;"",Capaian1!AV8,"")</f>
        <v/>
      </c>
      <c r="AW10" s="255" t="str">
        <f>IF(Capaian1!AW8&lt;&gt;"",Capaian1!AW8,"")</f>
        <v/>
      </c>
      <c r="AX10" s="255">
        <f>IF(Capaian1!AX8&lt;&gt;"",Capaian1!AX8,"")</f>
        <v>3.32</v>
      </c>
      <c r="AY10" s="255">
        <f>IF(Capaian1!AY8&lt;&gt;"",Capaian1!AY8,"")</f>
        <v>3.4</v>
      </c>
      <c r="AZ10" s="255" t="str">
        <f>IF(Capaian1!AZ8&lt;&gt;"",Capaian1!AZ8,"")</f>
        <v>B</v>
      </c>
      <c r="BA10" s="255">
        <f>IF(Capaian1!BA8&lt;&gt;"",Capaian1!BA8,"")</f>
        <v>3.1039999999999996</v>
      </c>
      <c r="BB10" s="255">
        <f>IF(Capaian1!BB8&lt;&gt;"",Capaian1!BB8,"")</f>
        <v>3.2080000000000002</v>
      </c>
      <c r="BC10" s="255" t="str">
        <f>IF(Capaian1!BC8&lt;&gt;"",Capaian1!BC8,"")</f>
        <v>B</v>
      </c>
      <c r="BD10" s="255">
        <f>IF(Capaian1!BD8&lt;&gt;"",Capaian1!BD8,"")</f>
        <v>3.2519999999999998</v>
      </c>
      <c r="BE10" s="255">
        <f>IF(Capaian1!BE8&lt;&gt;"",Capaian1!BE8,"")</f>
        <v>3.3043999999999998</v>
      </c>
      <c r="BF10" s="255" t="str">
        <f>IF(Capaian1!BF8&lt;&gt;"",Capaian1!BF8,"")</f>
        <v>B</v>
      </c>
      <c r="BG10" s="255">
        <f>IF(Capaian1!BG8&lt;&gt;"",Capaian1!BG8,"")</f>
        <v>3.0213333333333332</v>
      </c>
      <c r="BH10" s="255">
        <f>IF(Capaian1!BH8&lt;&gt;"",Capaian1!BH8,"")</f>
        <v>3.0133333333333336</v>
      </c>
      <c r="BI10" s="255" t="str">
        <f>IF(Capaian1!BI8&lt;&gt;"",Capaian1!BI8,"")</f>
        <v>B</v>
      </c>
      <c r="BJ10" s="255">
        <f>IF(Capaian1!BJ8&lt;&gt;"",Capaian1!BJ8,"")</f>
        <v>2.84</v>
      </c>
      <c r="BK10" s="255">
        <f>IF(Capaian1!BK8&lt;&gt;"",Capaian1!BK8,"")</f>
        <v>3</v>
      </c>
      <c r="BL10" s="255" t="str">
        <f>IF(Capaian1!BL8&lt;&gt;"",Capaian1!BL8,"")</f>
        <v>B</v>
      </c>
      <c r="BM10" s="255">
        <f>IF(Capaian1!BM8&lt;&gt;"",Capaian1!BM8,"")</f>
        <v>3.2080000000000002</v>
      </c>
      <c r="BN10" s="255">
        <f>IF(Capaian1!BN8&lt;&gt;"",Capaian1!BN8,"")</f>
        <v>3.2560000000000002</v>
      </c>
      <c r="BO10" s="255" t="str">
        <f>IF(Capaian1!BO8&lt;&gt;"",Capaian1!BO8,"")</f>
        <v>B</v>
      </c>
      <c r="BP10" s="255" t="str">
        <f>IF(Capaian1!BP8&lt;&gt;"",Capaian1!BP8,"")</f>
        <v/>
      </c>
      <c r="BQ10" s="255" t="str">
        <f>IF(Capaian1!BQ8&lt;&gt;"",Capaian1!BQ8,"")</f>
        <v/>
      </c>
      <c r="BR10" s="255" t="str">
        <f>IF(Capaian1!BR8&lt;&gt;"",Capaian1!BR8,"")</f>
        <v/>
      </c>
      <c r="BS10" s="255" t="str">
        <f>IF(Capaian1!BS8&lt;&gt;"",Capaian1!BS8,"")</f>
        <v/>
      </c>
      <c r="BT10" s="255" t="str">
        <f>IF(Capaian1!BT8&lt;&gt;"",Capaian1!BT8,"")</f>
        <v/>
      </c>
      <c r="BU10" s="255" t="str">
        <f>IF(Capaian1!BU8&lt;&gt;"",Capaian1!BU8,"")</f>
        <v/>
      </c>
      <c r="BV10" s="255">
        <f>IF(Capaian1!BM8&lt;&gt;"",Capaian1!BM8,"")</f>
        <v>3.2080000000000002</v>
      </c>
      <c r="BW10" s="255">
        <f>IF(Capaian1!BN8&lt;&gt;"",Capaian1!BN8,"")</f>
        <v>3.2560000000000002</v>
      </c>
      <c r="BX10" s="255" t="str">
        <f>IF(Capaian1!BO8&lt;&gt;"",Capaian1!BO8,"")</f>
        <v>B</v>
      </c>
      <c r="BY10" s="255" t="str">
        <f>IF(Capaian1!BP8&lt;&gt;"",Capaian1!BP8,"")</f>
        <v/>
      </c>
      <c r="BZ10" s="255" t="str">
        <f>IF(Capaian1!BQ8&lt;&gt;"",Capaian1!BQ8,"")</f>
        <v/>
      </c>
      <c r="CA10" s="255" t="str">
        <f>IF(Capaian1!BR8&lt;&gt;"",Capaian1!BR8,"")</f>
        <v/>
      </c>
      <c r="CB10" s="255" t="str">
        <f>IF(Capaian1!BS8&lt;&gt;"",Capaian1!BS8,"")</f>
        <v/>
      </c>
      <c r="CC10" s="255" t="str">
        <f>IF(Capaian1!BT8&lt;&gt;"",Capaian1!BT8,"")</f>
        <v/>
      </c>
      <c r="CD10" s="255" t="str">
        <f>IF(Capaian1!BU8&lt;&gt;"",Capaian1!BU8,"")</f>
        <v/>
      </c>
      <c r="CE10" s="255" t="str">
        <f>IF(Capaian1!BV8&lt;&gt;"",Capaian1!BV8,"")</f>
        <v/>
      </c>
      <c r="CF10" s="255" t="str">
        <f>IF(Capaian1!BW8&lt;&gt;"",Capaian1!BW8,"")</f>
        <v/>
      </c>
      <c r="CG10" s="255" t="str">
        <f>IF(Capaian1!BX8&lt;&gt;"",Capaian1!BX8,"")</f>
        <v/>
      </c>
      <c r="CH10" s="255" t="str">
        <f>IF(Capaian1!BY8&lt;&gt;"",Capaian1!BY8,"")</f>
        <v/>
      </c>
      <c r="CI10" s="255" t="str">
        <f>IF(Capaian1!BZ8&lt;&gt;"",Capaian1!BZ8,"")</f>
        <v/>
      </c>
      <c r="CJ10" s="255" t="str">
        <f>IF(Capaian1!CA8&lt;&gt;"",Capaian1!CA8,"")</f>
        <v/>
      </c>
      <c r="CK10" s="255" t="str">
        <f>IF(Capaian1!CB8&lt;&gt;"",Capaian1!CB8,"")</f>
        <v/>
      </c>
      <c r="CL10" s="255" t="str">
        <f>IF(Capaian1!CC8&lt;&gt;"",Capaian1!CC8,"")</f>
        <v/>
      </c>
      <c r="CM10" s="255" t="str">
        <f>IF(Capaian1!CD8&lt;&gt;"",Capaian1!CD8,"")</f>
        <v/>
      </c>
      <c r="CN10" s="255" t="str">
        <f>IF(Capaian1!CE8&lt;&gt;"",Capaian1!CE8,"")</f>
        <v/>
      </c>
      <c r="CO10" s="255" t="str">
        <f>IF(Capaian1!CF8&lt;&gt;"",Capaian1!CF8,"")</f>
        <v/>
      </c>
      <c r="CP10" s="255" t="str">
        <f>IF(Capaian1!CG8&lt;&gt;"",Capaian1!CG8,"")</f>
        <v/>
      </c>
      <c r="CQ10" s="255">
        <f>IF(Capaian1!CH8&lt;&gt;"",Capaian1!CH8,"")</f>
        <v>3.3866666666666663</v>
      </c>
      <c r="CR10" s="255">
        <f>IF(Capaian1!CI8&lt;&gt;"",Capaian1!CI8,"")</f>
        <v>3.54</v>
      </c>
      <c r="CS10" s="255" t="str">
        <f>IF(Capaian1!CJ8&lt;&gt;"",Capaian1!CJ8,"")</f>
        <v>B</v>
      </c>
      <c r="CT10" s="255" t="str">
        <f>IF(Capaian1!CK8&lt;&gt;"",Capaian1!CK8,"")</f>
        <v/>
      </c>
      <c r="CU10" s="255" t="str">
        <f>IF(Capaian1!CL8&lt;&gt;"",Capaian1!CL8,"")</f>
        <v/>
      </c>
      <c r="CV10" s="255" t="str">
        <f>IF(Capaian1!CM8&lt;&gt;"",Capaian1!CM8,"")</f>
        <v/>
      </c>
      <c r="CW10" s="255" t="str">
        <f>IF(Capaian1!CN8&lt;&gt;"",Capaian1!CN8,"")</f>
        <v/>
      </c>
      <c r="CX10" s="255" t="str">
        <f>IF(Capaian1!CO8&lt;&gt;"",Capaian1!CO8,"")</f>
        <v/>
      </c>
      <c r="CY10" s="255" t="str">
        <f>IF(Capaian1!CP8&lt;&gt;"",Capaian1!CP8,"")</f>
        <v>FUTSAL</v>
      </c>
      <c r="CZ10" s="255" t="str">
        <f>IF(Capaian1!CQ8&lt;&gt;"",Capaian1!CQ8,"")</f>
        <v>A</v>
      </c>
      <c r="DA10" s="255">
        <f>IF(Capaian1!CR8&lt;&gt;"",Capaian1!CR8,"")</f>
        <v>1</v>
      </c>
      <c r="DB10" s="255">
        <f>IF(Capaian1!CS8&lt;&gt;"",Capaian1!CS8,"")</f>
        <v>1</v>
      </c>
      <c r="DC10" s="255">
        <f>IF(Capaian1!CT8&lt;&gt;"",Capaian1!CT8,"")</f>
        <v>0</v>
      </c>
    </row>
    <row r="11" spans="2:107" s="234" customFormat="1" x14ac:dyDescent="0.25">
      <c r="B11" s="238">
        <v>5</v>
      </c>
      <c r="C11" s="238" t="str">
        <f>Peserta_Didik!D7</f>
        <v>1314.10.111</v>
      </c>
      <c r="D11" s="238" t="str">
        <f>Peserta_Didik!C7</f>
        <v>Cecep Solehudin</v>
      </c>
      <c r="E11" s="255">
        <f>IF(Capaian1!E9&lt;&gt;"",Capaian1!E9,"")</f>
        <v>3.3439999999999999</v>
      </c>
      <c r="F11" s="255">
        <f>IF(Capaian1!F9&lt;&gt;"",Capaian1!F9,"")</f>
        <v>3.36</v>
      </c>
      <c r="G11" s="255" t="str">
        <f>IF(Capaian1!G9&lt;&gt;"",Capaian1!G9,"")</f>
        <v>B</v>
      </c>
      <c r="H11" s="255">
        <f>IF(Capaian1!H9&lt;&gt;"",Capaian1!H9,"")</f>
        <v>3.2080000000000002</v>
      </c>
      <c r="I11" s="255">
        <f>IF(Capaian1!I9&lt;&gt;"",Capaian1!I9,"")</f>
        <v>3.39</v>
      </c>
      <c r="J11" s="255" t="str">
        <f>IF(Capaian1!J9&lt;&gt;"",Capaian1!J9,"")</f>
        <v>B</v>
      </c>
      <c r="K11" s="255">
        <f>IF(Capaian1!K9&lt;&gt;"",Capaian1!K9,"")</f>
        <v>3.6720000000000006</v>
      </c>
      <c r="L11" s="255">
        <f>IF(Capaian1!L9&lt;&gt;"",Capaian1!L9,"")</f>
        <v>3.4</v>
      </c>
      <c r="M11" s="255" t="str">
        <f>IF(Capaian1!M9&lt;&gt;"",Capaian1!M9,"")</f>
        <v>B</v>
      </c>
      <c r="N11" s="255">
        <f>IF(Capaian1!N9&lt;&gt;"",Capaian1!N9,"")</f>
        <v>2.9371428571428568</v>
      </c>
      <c r="O11" s="255">
        <f>IF(Capaian1!O9&lt;&gt;"",Capaian1!O9,"")</f>
        <v>3.0963809523809522</v>
      </c>
      <c r="P11" s="255" t="str">
        <f>IF(Capaian1!P9&lt;&gt;"",Capaian1!P9,"")</f>
        <v>B</v>
      </c>
      <c r="Q11" s="255">
        <f>IF(Capaian1!Q9&lt;&gt;"",Capaian1!Q9,"")</f>
        <v>3.3879999999999995</v>
      </c>
      <c r="R11" s="255">
        <f>IF(Capaian1!R9&lt;&gt;"",Capaian1!R9,"")</f>
        <v>3.3666666666666667</v>
      </c>
      <c r="S11" s="255" t="str">
        <f>IF(Capaian1!S9&lt;&gt;"",Capaian1!S9,"")</f>
        <v>B</v>
      </c>
      <c r="T11" s="255">
        <f>IF(Capaian1!T9&lt;&gt;"",Capaian1!T9,"")</f>
        <v>3.2640000000000002</v>
      </c>
      <c r="U11" s="255">
        <f>IF(Capaian1!U9&lt;&gt;"",Capaian1!U9,"")</f>
        <v>3.2439999999999998</v>
      </c>
      <c r="V11" s="255" t="str">
        <f>IF(Capaian1!V9&lt;&gt;"",Capaian1!V9,"")</f>
        <v>B</v>
      </c>
      <c r="W11" s="255">
        <f>IF(Capaian1!W9&lt;&gt;"",Capaian1!W9,"")</f>
        <v>3.2320000000000007</v>
      </c>
      <c r="X11" s="255">
        <f>IF(Capaian1!X9&lt;&gt;"",Capaian1!X9,"")</f>
        <v>3.2560000000000002</v>
      </c>
      <c r="Y11" s="255" t="str">
        <f>IF(Capaian1!Y9&lt;&gt;"",Capaian1!Y9,"")</f>
        <v>B</v>
      </c>
      <c r="Z11" s="255">
        <f>IF(Capaian1!Z9&lt;&gt;"",Capaian1!Z9,"")</f>
        <v>3.36</v>
      </c>
      <c r="AA11" s="255">
        <f>IF(Capaian1!AA9&lt;&gt;"",Capaian1!AA9,"")</f>
        <v>3.2789999999999999</v>
      </c>
      <c r="AB11" s="255" t="str">
        <f>IF(Capaian1!AB9&lt;&gt;"",Capaian1!AB9,"")</f>
        <v>B</v>
      </c>
      <c r="AC11" s="255">
        <f>IF(Capaian1!AC9&lt;&gt;"",Capaian1!AC9,"")</f>
        <v>3.2</v>
      </c>
      <c r="AD11" s="255">
        <f>IF(Capaian1!AD9&lt;&gt;"",Capaian1!AD9,"")</f>
        <v>3.28</v>
      </c>
      <c r="AE11" s="255" t="str">
        <f>IF(Capaian1!AE9&lt;&gt;"",Capaian1!AE9,"")</f>
        <v>B</v>
      </c>
      <c r="AF11" s="255">
        <f>IF(Capaian1!AF9&lt;&gt;"",Capaian1!AF9,"")</f>
        <v>2.891</v>
      </c>
      <c r="AG11" s="255">
        <f>IF(Capaian1!AG9&lt;&gt;"",Capaian1!AG9,"")</f>
        <v>3.05</v>
      </c>
      <c r="AH11" s="255" t="str">
        <f>IF(Capaian1!AH9&lt;&gt;"",Capaian1!AH9,"")</f>
        <v>B</v>
      </c>
      <c r="AI11" s="255">
        <f>IF(Capaian1!AI9&lt;&gt;"",Capaian1!AI9,"")</f>
        <v>3.2019999999999995</v>
      </c>
      <c r="AJ11" s="255">
        <f>IF(Capaian1!AJ9&lt;&gt;"",Capaian1!AJ9,"")</f>
        <v>3.2639999999999998</v>
      </c>
      <c r="AK11" s="255" t="str">
        <f>IF(Capaian1!AK9&lt;&gt;"",Capaian1!AK9,"")</f>
        <v>B</v>
      </c>
      <c r="AL11" s="255" t="str">
        <f>IF(Capaian1!AL9&lt;&gt;"",Capaian1!AL9,"")</f>
        <v/>
      </c>
      <c r="AM11" s="255" t="str">
        <f>IF(Capaian1!AM9&lt;&gt;"",Capaian1!AM9,"")</f>
        <v/>
      </c>
      <c r="AN11" s="255" t="str">
        <f>IF(Capaian1!AN9&lt;&gt;"",Capaian1!AN9,"")</f>
        <v/>
      </c>
      <c r="AO11" s="255" t="str">
        <f>IF(Capaian1!AO9&lt;&gt;"",Capaian1!AO9,"")</f>
        <v/>
      </c>
      <c r="AP11" s="255" t="str">
        <f>IF(Capaian1!AP9&lt;&gt;"",Capaian1!AP9,"")</f>
        <v/>
      </c>
      <c r="AQ11" s="255" t="str">
        <f>IF(Capaian1!AQ9&lt;&gt;"",Capaian1!AQ9,"")</f>
        <v/>
      </c>
      <c r="AR11" s="255" t="str">
        <f>IF(Capaian1!AR9&lt;&gt;"",Capaian1!AR9,"")</f>
        <v/>
      </c>
      <c r="AS11" s="255" t="str">
        <f>IF(Capaian1!AS9&lt;&gt;"",Capaian1!AS9,"")</f>
        <v/>
      </c>
      <c r="AT11" s="255" t="str">
        <f>IF(Capaian1!AT9&lt;&gt;"",Capaian1!AT9,"")</f>
        <v/>
      </c>
      <c r="AU11" s="255" t="str">
        <f>IF(Capaian1!AU9&lt;&gt;"",Capaian1!AU9,"")</f>
        <v/>
      </c>
      <c r="AV11" s="255" t="str">
        <f>IF(Capaian1!AV9&lt;&gt;"",Capaian1!AV9,"")</f>
        <v/>
      </c>
      <c r="AW11" s="255" t="str">
        <f>IF(Capaian1!AW9&lt;&gt;"",Capaian1!AW9,"")</f>
        <v/>
      </c>
      <c r="AX11" s="255">
        <f>IF(Capaian1!AX9&lt;&gt;"",Capaian1!AX9,"")</f>
        <v>3.2080000000000002</v>
      </c>
      <c r="AY11" s="255">
        <f>IF(Capaian1!AY9&lt;&gt;"",Capaian1!AY9,"")</f>
        <v>3.39</v>
      </c>
      <c r="AZ11" s="255" t="str">
        <f>IF(Capaian1!AZ9&lt;&gt;"",Capaian1!AZ9,"")</f>
        <v>B</v>
      </c>
      <c r="BA11" s="255">
        <f>IF(Capaian1!BA9&lt;&gt;"",Capaian1!BA9,"")</f>
        <v>3.2</v>
      </c>
      <c r="BB11" s="255">
        <f>IF(Capaian1!BB9&lt;&gt;"",Capaian1!BB9,"")</f>
        <v>3.24</v>
      </c>
      <c r="BC11" s="255" t="str">
        <f>IF(Capaian1!BC9&lt;&gt;"",Capaian1!BC9,"")</f>
        <v>B</v>
      </c>
      <c r="BD11" s="255">
        <f>IF(Capaian1!BD9&lt;&gt;"",Capaian1!BD9,"")</f>
        <v>3.1219999999999999</v>
      </c>
      <c r="BE11" s="255">
        <f>IF(Capaian1!BE9&lt;&gt;"",Capaian1!BE9,"")</f>
        <v>3.3892000000000002</v>
      </c>
      <c r="BF11" s="255" t="str">
        <f>IF(Capaian1!BF9&lt;&gt;"",Capaian1!BF9,"")</f>
        <v>SB</v>
      </c>
      <c r="BG11" s="255">
        <f>IF(Capaian1!BG9&lt;&gt;"",Capaian1!BG9,"")</f>
        <v>3.0746666666666669</v>
      </c>
      <c r="BH11" s="255">
        <f>IF(Capaian1!BH9&lt;&gt;"",Capaian1!BH9,"")</f>
        <v>3.0466666666666664</v>
      </c>
      <c r="BI11" s="255" t="str">
        <f>IF(Capaian1!BI9&lt;&gt;"",Capaian1!BI9,"")</f>
        <v>B</v>
      </c>
      <c r="BJ11" s="255">
        <f>IF(Capaian1!BJ9&lt;&gt;"",Capaian1!BJ9,"")</f>
        <v>3</v>
      </c>
      <c r="BK11" s="255">
        <f>IF(Capaian1!BK9&lt;&gt;"",Capaian1!BK9,"")</f>
        <v>3.3</v>
      </c>
      <c r="BL11" s="255" t="str">
        <f>IF(Capaian1!BL9&lt;&gt;"",Capaian1!BL9,"")</f>
        <v>B</v>
      </c>
      <c r="BM11" s="255">
        <f>IF(Capaian1!BM9&lt;&gt;"",Capaian1!BM9,"")</f>
        <v>3.1880000000000002</v>
      </c>
      <c r="BN11" s="255">
        <f>IF(Capaian1!BN9&lt;&gt;"",Capaian1!BN9,"")</f>
        <v>3.3839999999999999</v>
      </c>
      <c r="BO11" s="255" t="str">
        <f>IF(Capaian1!BO9&lt;&gt;"",Capaian1!BO9,"")</f>
        <v>SB</v>
      </c>
      <c r="BP11" s="255" t="str">
        <f>IF(Capaian1!BP9&lt;&gt;"",Capaian1!BP9,"")</f>
        <v/>
      </c>
      <c r="BQ11" s="255" t="str">
        <f>IF(Capaian1!BQ9&lt;&gt;"",Capaian1!BQ9,"")</f>
        <v/>
      </c>
      <c r="BR11" s="255" t="str">
        <f>IF(Capaian1!BR9&lt;&gt;"",Capaian1!BR9,"")</f>
        <v/>
      </c>
      <c r="BS11" s="255" t="str">
        <f>IF(Capaian1!BS9&lt;&gt;"",Capaian1!BS9,"")</f>
        <v/>
      </c>
      <c r="BT11" s="255" t="str">
        <f>IF(Capaian1!BT9&lt;&gt;"",Capaian1!BT9,"")</f>
        <v/>
      </c>
      <c r="BU11" s="255" t="str">
        <f>IF(Capaian1!BU9&lt;&gt;"",Capaian1!BU9,"")</f>
        <v/>
      </c>
      <c r="BV11" s="255">
        <f>IF(Capaian1!BM9&lt;&gt;"",Capaian1!BM9,"")</f>
        <v>3.1880000000000002</v>
      </c>
      <c r="BW11" s="255">
        <f>IF(Capaian1!BN9&lt;&gt;"",Capaian1!BN9,"")</f>
        <v>3.3839999999999999</v>
      </c>
      <c r="BX11" s="255" t="str">
        <f>IF(Capaian1!BO9&lt;&gt;"",Capaian1!BO9,"")</f>
        <v>SB</v>
      </c>
      <c r="BY11" s="255" t="str">
        <f>IF(Capaian1!BP9&lt;&gt;"",Capaian1!BP9,"")</f>
        <v/>
      </c>
      <c r="BZ11" s="255" t="str">
        <f>IF(Capaian1!BQ9&lt;&gt;"",Capaian1!BQ9,"")</f>
        <v/>
      </c>
      <c r="CA11" s="255" t="str">
        <f>IF(Capaian1!BR9&lt;&gt;"",Capaian1!BR9,"")</f>
        <v/>
      </c>
      <c r="CB11" s="255" t="str">
        <f>IF(Capaian1!BS9&lt;&gt;"",Capaian1!BS9,"")</f>
        <v/>
      </c>
      <c r="CC11" s="255" t="str">
        <f>IF(Capaian1!BT9&lt;&gt;"",Capaian1!BT9,"")</f>
        <v/>
      </c>
      <c r="CD11" s="255" t="str">
        <f>IF(Capaian1!BU9&lt;&gt;"",Capaian1!BU9,"")</f>
        <v/>
      </c>
      <c r="CE11" s="255" t="str">
        <f>IF(Capaian1!BV9&lt;&gt;"",Capaian1!BV9,"")</f>
        <v/>
      </c>
      <c r="CF11" s="255" t="str">
        <f>IF(Capaian1!BW9&lt;&gt;"",Capaian1!BW9,"")</f>
        <v/>
      </c>
      <c r="CG11" s="255" t="str">
        <f>IF(Capaian1!BX9&lt;&gt;"",Capaian1!BX9,"")</f>
        <v/>
      </c>
      <c r="CH11" s="255" t="str">
        <f>IF(Capaian1!BY9&lt;&gt;"",Capaian1!BY9,"")</f>
        <v/>
      </c>
      <c r="CI11" s="255" t="str">
        <f>IF(Capaian1!BZ9&lt;&gt;"",Capaian1!BZ9,"")</f>
        <v/>
      </c>
      <c r="CJ11" s="255" t="str">
        <f>IF(Capaian1!CA9&lt;&gt;"",Capaian1!CA9,"")</f>
        <v/>
      </c>
      <c r="CK11" s="255" t="str">
        <f>IF(Capaian1!CB9&lt;&gt;"",Capaian1!CB9,"")</f>
        <v/>
      </c>
      <c r="CL11" s="255" t="str">
        <f>IF(Capaian1!CC9&lt;&gt;"",Capaian1!CC9,"")</f>
        <v/>
      </c>
      <c r="CM11" s="255" t="str">
        <f>IF(Capaian1!CD9&lt;&gt;"",Capaian1!CD9,"")</f>
        <v/>
      </c>
      <c r="CN11" s="255" t="str">
        <f>IF(Capaian1!CE9&lt;&gt;"",Capaian1!CE9,"")</f>
        <v/>
      </c>
      <c r="CO11" s="255" t="str">
        <f>IF(Capaian1!CF9&lt;&gt;"",Capaian1!CF9,"")</f>
        <v/>
      </c>
      <c r="CP11" s="255" t="str">
        <f>IF(Capaian1!CG9&lt;&gt;"",Capaian1!CG9,"")</f>
        <v/>
      </c>
      <c r="CQ11" s="255">
        <f>IF(Capaian1!CH9&lt;&gt;"",Capaian1!CH9,"")</f>
        <v>3.4466666666666663</v>
      </c>
      <c r="CR11" s="255">
        <f>IF(Capaian1!CI9&lt;&gt;"",Capaian1!CI9,"")</f>
        <v>3.54</v>
      </c>
      <c r="CS11" s="255" t="str">
        <f>IF(Capaian1!CJ9&lt;&gt;"",Capaian1!CJ9,"")</f>
        <v>B</v>
      </c>
      <c r="CT11" s="255" t="str">
        <f>IF(Capaian1!CK9&lt;&gt;"",Capaian1!CK9,"")</f>
        <v/>
      </c>
      <c r="CU11" s="255" t="str">
        <f>IF(Capaian1!CL9&lt;&gt;"",Capaian1!CL9,"")</f>
        <v/>
      </c>
      <c r="CV11" s="255" t="str">
        <f>IF(Capaian1!CM9&lt;&gt;"",Capaian1!CM9,"")</f>
        <v/>
      </c>
      <c r="CW11" s="255" t="str">
        <f>IF(Capaian1!CN9&lt;&gt;"",Capaian1!CN9,"")</f>
        <v>OSIS</v>
      </c>
      <c r="CX11" s="255" t="str">
        <f>IF(Capaian1!CO9&lt;&gt;"",Capaian1!CO9,"")</f>
        <v>A</v>
      </c>
      <c r="CY11" s="255" t="str">
        <f>IF(Capaian1!CP9&lt;&gt;"",Capaian1!CP9,"")</f>
        <v/>
      </c>
      <c r="CZ11" s="255" t="str">
        <f>IF(Capaian1!CQ9&lt;&gt;"",Capaian1!CQ9,"")</f>
        <v/>
      </c>
      <c r="DA11" s="255">
        <f>IF(Capaian1!CR9&lt;&gt;"",Capaian1!CR9,"")</f>
        <v>1</v>
      </c>
      <c r="DB11" s="255">
        <f>IF(Capaian1!CS9&lt;&gt;"",Capaian1!CS9,"")</f>
        <v>0</v>
      </c>
      <c r="DC11" s="255">
        <f>IF(Capaian1!CT9&lt;&gt;"",Capaian1!CT9,"")</f>
        <v>0</v>
      </c>
    </row>
    <row r="12" spans="2:107" s="234" customFormat="1" x14ac:dyDescent="0.25">
      <c r="B12" s="238">
        <v>6</v>
      </c>
      <c r="C12" s="238" t="str">
        <f>Peserta_Didik!D8</f>
        <v>1314.10.112</v>
      </c>
      <c r="D12" s="238" t="str">
        <f>Peserta_Didik!C8</f>
        <v>Cepy Septiahadi</v>
      </c>
      <c r="E12" s="255">
        <f>IF(Capaian1!E10&lt;&gt;"",Capaian1!E10,"")</f>
        <v>3.36</v>
      </c>
      <c r="F12" s="255">
        <f>IF(Capaian1!F10&lt;&gt;"",Capaian1!F10,"")</f>
        <v>3.46</v>
      </c>
      <c r="G12" s="255" t="str">
        <f>IF(Capaian1!G10&lt;&gt;"",Capaian1!G10,"")</f>
        <v>B</v>
      </c>
      <c r="H12" s="255">
        <f>IF(Capaian1!H10&lt;&gt;"",Capaian1!H10,"")</f>
        <v>3.2</v>
      </c>
      <c r="I12" s="255">
        <f>IF(Capaian1!I10&lt;&gt;"",Capaian1!I10,"")</f>
        <v>3.4</v>
      </c>
      <c r="J12" s="255" t="str">
        <f>IF(Capaian1!J10&lt;&gt;"",Capaian1!J10,"")</f>
        <v>B</v>
      </c>
      <c r="K12" s="255">
        <f>IF(Capaian1!K10&lt;&gt;"",Capaian1!K10,"")</f>
        <v>3.3360000000000003</v>
      </c>
      <c r="L12" s="255">
        <f>IF(Capaian1!L10&lt;&gt;"",Capaian1!L10,"")</f>
        <v>3.4</v>
      </c>
      <c r="M12" s="255" t="str">
        <f>IF(Capaian1!M10&lt;&gt;"",Capaian1!M10,"")</f>
        <v>B</v>
      </c>
      <c r="N12" s="255">
        <f>IF(Capaian1!N10&lt;&gt;"",Capaian1!N10,"")</f>
        <v>2.6142857142857143</v>
      </c>
      <c r="O12" s="255">
        <f>IF(Capaian1!O10&lt;&gt;"",Capaian1!O10,"")</f>
        <v>2.6620952380952376</v>
      </c>
      <c r="P12" s="255" t="str">
        <f>IF(Capaian1!P10&lt;&gt;"",Capaian1!P10,"")</f>
        <v>B</v>
      </c>
      <c r="Q12" s="255">
        <f>IF(Capaian1!Q10&lt;&gt;"",Capaian1!Q10,"")</f>
        <v>3.0053333333333332</v>
      </c>
      <c r="R12" s="255">
        <f>IF(Capaian1!R10&lt;&gt;"",Capaian1!R10,"")</f>
        <v>3.1733333333333333</v>
      </c>
      <c r="S12" s="255" t="str">
        <f>IF(Capaian1!S10&lt;&gt;"",Capaian1!S10,"")</f>
        <v>B</v>
      </c>
      <c r="T12" s="255">
        <f>IF(Capaian1!T10&lt;&gt;"",Capaian1!T10,"")</f>
        <v>3.2640000000000002</v>
      </c>
      <c r="U12" s="255">
        <f>IF(Capaian1!U10&lt;&gt;"",Capaian1!U10,"")</f>
        <v>3.2439999999999998</v>
      </c>
      <c r="V12" s="255" t="str">
        <f>IF(Capaian1!V10&lt;&gt;"",Capaian1!V10,"")</f>
        <v>B</v>
      </c>
      <c r="W12" s="255">
        <f>IF(Capaian1!W10&lt;&gt;"",Capaian1!W10,"")</f>
        <v>3.24</v>
      </c>
      <c r="X12" s="255">
        <f>IF(Capaian1!X10&lt;&gt;"",Capaian1!X10,"")</f>
        <v>3.2760000000000002</v>
      </c>
      <c r="Y12" s="255" t="str">
        <f>IF(Capaian1!Y10&lt;&gt;"",Capaian1!Y10,"")</f>
        <v>B</v>
      </c>
      <c r="Z12" s="255">
        <f>IF(Capaian1!Z10&lt;&gt;"",Capaian1!Z10,"")</f>
        <v>3.04</v>
      </c>
      <c r="AA12" s="255">
        <f>IF(Capaian1!AA10&lt;&gt;"",Capaian1!AA10,"")</f>
        <v>3.0939999999999999</v>
      </c>
      <c r="AB12" s="255" t="str">
        <f>IF(Capaian1!AB10&lt;&gt;"",Capaian1!AB10,"")</f>
        <v>B</v>
      </c>
      <c r="AC12" s="255">
        <f>IF(Capaian1!AC10&lt;&gt;"",Capaian1!AC10,"")</f>
        <v>3.1919999999999997</v>
      </c>
      <c r="AD12" s="255">
        <f>IF(Capaian1!AD10&lt;&gt;"",Capaian1!AD10,"")</f>
        <v>3.24</v>
      </c>
      <c r="AE12" s="255" t="str">
        <f>IF(Capaian1!AE10&lt;&gt;"",Capaian1!AE10,"")</f>
        <v>B</v>
      </c>
      <c r="AF12" s="255">
        <f>IF(Capaian1!AF10&lt;&gt;"",Capaian1!AF10,"")</f>
        <v>2.8989999999999996</v>
      </c>
      <c r="AG12" s="255">
        <f>IF(Capaian1!AG10&lt;&gt;"",Capaian1!AG10,"")</f>
        <v>3.05</v>
      </c>
      <c r="AH12" s="255" t="str">
        <f>IF(Capaian1!AH10&lt;&gt;"",Capaian1!AH10,"")</f>
        <v>B</v>
      </c>
      <c r="AI12" s="255">
        <f>IF(Capaian1!AI10&lt;&gt;"",Capaian1!AI10,"")</f>
        <v>3.0269999999999997</v>
      </c>
      <c r="AJ12" s="255">
        <f>IF(Capaian1!AJ10&lt;&gt;"",Capaian1!AJ10,"")</f>
        <v>3.1439999999999997</v>
      </c>
      <c r="AK12" s="255" t="str">
        <f>IF(Capaian1!AK10&lt;&gt;"",Capaian1!AK10,"")</f>
        <v>B</v>
      </c>
      <c r="AL12" s="255" t="str">
        <f>IF(Capaian1!AL10&lt;&gt;"",Capaian1!AL10,"")</f>
        <v/>
      </c>
      <c r="AM12" s="255" t="str">
        <f>IF(Capaian1!AM10&lt;&gt;"",Capaian1!AM10,"")</f>
        <v/>
      </c>
      <c r="AN12" s="255" t="str">
        <f>IF(Capaian1!AN10&lt;&gt;"",Capaian1!AN10,"")</f>
        <v/>
      </c>
      <c r="AO12" s="255" t="str">
        <f>IF(Capaian1!AO10&lt;&gt;"",Capaian1!AO10,"")</f>
        <v/>
      </c>
      <c r="AP12" s="255" t="str">
        <f>IF(Capaian1!AP10&lt;&gt;"",Capaian1!AP10,"")</f>
        <v/>
      </c>
      <c r="AQ12" s="255" t="str">
        <f>IF(Capaian1!AQ10&lt;&gt;"",Capaian1!AQ10,"")</f>
        <v/>
      </c>
      <c r="AR12" s="255" t="str">
        <f>IF(Capaian1!AR10&lt;&gt;"",Capaian1!AR10,"")</f>
        <v/>
      </c>
      <c r="AS12" s="255" t="str">
        <f>IF(Capaian1!AS10&lt;&gt;"",Capaian1!AS10,"")</f>
        <v/>
      </c>
      <c r="AT12" s="255" t="str">
        <f>IF(Capaian1!AT10&lt;&gt;"",Capaian1!AT10,"")</f>
        <v/>
      </c>
      <c r="AU12" s="255" t="str">
        <f>IF(Capaian1!AU10&lt;&gt;"",Capaian1!AU10,"")</f>
        <v/>
      </c>
      <c r="AV12" s="255" t="str">
        <f>IF(Capaian1!AV10&lt;&gt;"",Capaian1!AV10,"")</f>
        <v/>
      </c>
      <c r="AW12" s="255" t="str">
        <f>IF(Capaian1!AW10&lt;&gt;"",Capaian1!AW10,"")</f>
        <v/>
      </c>
      <c r="AX12" s="255">
        <f>IF(Capaian1!AX10&lt;&gt;"",Capaian1!AX10,"")</f>
        <v>3.2</v>
      </c>
      <c r="AY12" s="255">
        <f>IF(Capaian1!AY10&lt;&gt;"",Capaian1!AY10,"")</f>
        <v>3.4</v>
      </c>
      <c r="AZ12" s="255" t="str">
        <f>IF(Capaian1!AZ10&lt;&gt;"",Capaian1!AZ10,"")</f>
        <v>B</v>
      </c>
      <c r="BA12" s="255">
        <f>IF(Capaian1!BA10&lt;&gt;"",Capaian1!BA10,"")</f>
        <v>3.0920000000000005</v>
      </c>
      <c r="BB12" s="255">
        <f>IF(Capaian1!BB10&lt;&gt;"",Capaian1!BB10,"")</f>
        <v>3.1280000000000001</v>
      </c>
      <c r="BC12" s="255" t="str">
        <f>IF(Capaian1!BC10&lt;&gt;"",Capaian1!BC10,"")</f>
        <v>B</v>
      </c>
      <c r="BD12" s="255">
        <f>IF(Capaian1!BD10&lt;&gt;"",Capaian1!BD10,"")</f>
        <v>3.2519999999999998</v>
      </c>
      <c r="BE12" s="255">
        <f>IF(Capaian1!BE10&lt;&gt;"",Capaian1!BE10,"")</f>
        <v>3.2532000000000001</v>
      </c>
      <c r="BF12" s="255" t="str">
        <f>IF(Capaian1!BF10&lt;&gt;"",Capaian1!BF10,"")</f>
        <v>B</v>
      </c>
      <c r="BG12" s="255">
        <f>IF(Capaian1!BG10&lt;&gt;"",Capaian1!BG10,"")</f>
        <v>2.9466666666666663</v>
      </c>
      <c r="BH12" s="255">
        <f>IF(Capaian1!BH10&lt;&gt;"",Capaian1!BH10,"")</f>
        <v>2.9666666666666663</v>
      </c>
      <c r="BI12" s="255" t="str">
        <f>IF(Capaian1!BI10&lt;&gt;"",Capaian1!BI10,"")</f>
        <v>B</v>
      </c>
      <c r="BJ12" s="255">
        <f>IF(Capaian1!BJ10&lt;&gt;"",Capaian1!BJ10,"")</f>
        <v>2.76</v>
      </c>
      <c r="BK12" s="255">
        <f>IF(Capaian1!BK10&lt;&gt;"",Capaian1!BK10,"")</f>
        <v>2.85</v>
      </c>
      <c r="BL12" s="255" t="str">
        <f>IF(Capaian1!BL10&lt;&gt;"",Capaian1!BL10,"")</f>
        <v>B</v>
      </c>
      <c r="BM12" s="255">
        <f>IF(Capaian1!BM10&lt;&gt;"",Capaian1!BM10,"")</f>
        <v>3.2080000000000002</v>
      </c>
      <c r="BN12" s="255">
        <f>IF(Capaian1!BN10&lt;&gt;"",Capaian1!BN10,"")</f>
        <v>3.2039999999999997</v>
      </c>
      <c r="BO12" s="255" t="str">
        <f>IF(Capaian1!BO10&lt;&gt;"",Capaian1!BO10,"")</f>
        <v>B</v>
      </c>
      <c r="BP12" s="255" t="str">
        <f>IF(Capaian1!BP10&lt;&gt;"",Capaian1!BP10,"")</f>
        <v/>
      </c>
      <c r="BQ12" s="255" t="str">
        <f>IF(Capaian1!BQ10&lt;&gt;"",Capaian1!BQ10,"")</f>
        <v/>
      </c>
      <c r="BR12" s="255" t="str">
        <f>IF(Capaian1!BR10&lt;&gt;"",Capaian1!BR10,"")</f>
        <v/>
      </c>
      <c r="BS12" s="255" t="str">
        <f>IF(Capaian1!BS10&lt;&gt;"",Capaian1!BS10,"")</f>
        <v/>
      </c>
      <c r="BT12" s="255" t="str">
        <f>IF(Capaian1!BT10&lt;&gt;"",Capaian1!BT10,"")</f>
        <v/>
      </c>
      <c r="BU12" s="255" t="str">
        <f>IF(Capaian1!BU10&lt;&gt;"",Capaian1!BU10,"")</f>
        <v/>
      </c>
      <c r="BV12" s="255">
        <f>IF(Capaian1!BM10&lt;&gt;"",Capaian1!BM10,"")</f>
        <v>3.2080000000000002</v>
      </c>
      <c r="BW12" s="255">
        <f>IF(Capaian1!BN10&lt;&gt;"",Capaian1!BN10,"")</f>
        <v>3.2039999999999997</v>
      </c>
      <c r="BX12" s="255" t="str">
        <f>IF(Capaian1!BO10&lt;&gt;"",Capaian1!BO10,"")</f>
        <v>B</v>
      </c>
      <c r="BY12" s="255" t="str">
        <f>IF(Capaian1!BP10&lt;&gt;"",Capaian1!BP10,"")</f>
        <v/>
      </c>
      <c r="BZ12" s="255" t="str">
        <f>IF(Capaian1!BQ10&lt;&gt;"",Capaian1!BQ10,"")</f>
        <v/>
      </c>
      <c r="CA12" s="255" t="str">
        <f>IF(Capaian1!BR10&lt;&gt;"",Capaian1!BR10,"")</f>
        <v/>
      </c>
      <c r="CB12" s="255" t="str">
        <f>IF(Capaian1!BS10&lt;&gt;"",Capaian1!BS10,"")</f>
        <v/>
      </c>
      <c r="CC12" s="255" t="str">
        <f>IF(Capaian1!BT10&lt;&gt;"",Capaian1!BT10,"")</f>
        <v/>
      </c>
      <c r="CD12" s="255" t="str">
        <f>IF(Capaian1!BU10&lt;&gt;"",Capaian1!BU10,"")</f>
        <v/>
      </c>
      <c r="CE12" s="255" t="str">
        <f>IF(Capaian1!BV10&lt;&gt;"",Capaian1!BV10,"")</f>
        <v/>
      </c>
      <c r="CF12" s="255" t="str">
        <f>IF(Capaian1!BW10&lt;&gt;"",Capaian1!BW10,"")</f>
        <v/>
      </c>
      <c r="CG12" s="255" t="str">
        <f>IF(Capaian1!BX10&lt;&gt;"",Capaian1!BX10,"")</f>
        <v/>
      </c>
      <c r="CH12" s="255" t="str">
        <f>IF(Capaian1!BY10&lt;&gt;"",Capaian1!BY10,"")</f>
        <v/>
      </c>
      <c r="CI12" s="255" t="str">
        <f>IF(Capaian1!BZ10&lt;&gt;"",Capaian1!BZ10,"")</f>
        <v/>
      </c>
      <c r="CJ12" s="255" t="str">
        <f>IF(Capaian1!CA10&lt;&gt;"",Capaian1!CA10,"")</f>
        <v/>
      </c>
      <c r="CK12" s="255" t="str">
        <f>IF(Capaian1!CB10&lt;&gt;"",Capaian1!CB10,"")</f>
        <v/>
      </c>
      <c r="CL12" s="255" t="str">
        <f>IF(Capaian1!CC10&lt;&gt;"",Capaian1!CC10,"")</f>
        <v/>
      </c>
      <c r="CM12" s="255" t="str">
        <f>IF(Capaian1!CD10&lt;&gt;"",Capaian1!CD10,"")</f>
        <v/>
      </c>
      <c r="CN12" s="255" t="str">
        <f>IF(Capaian1!CE10&lt;&gt;"",Capaian1!CE10,"")</f>
        <v/>
      </c>
      <c r="CO12" s="255" t="str">
        <f>IF(Capaian1!CF10&lt;&gt;"",Capaian1!CF10,"")</f>
        <v/>
      </c>
      <c r="CP12" s="255" t="str">
        <f>IF(Capaian1!CG10&lt;&gt;"",Capaian1!CG10,"")</f>
        <v/>
      </c>
      <c r="CQ12" s="255">
        <f>IF(Capaian1!CH10&lt;&gt;"",Capaian1!CH10,"")</f>
        <v>3.4266666666666663</v>
      </c>
      <c r="CR12" s="255">
        <f>IF(Capaian1!CI10&lt;&gt;"",Capaian1!CI10,"")</f>
        <v>3.64</v>
      </c>
      <c r="CS12" s="255" t="str">
        <f>IF(Capaian1!CJ10&lt;&gt;"",Capaian1!CJ10,"")</f>
        <v>B</v>
      </c>
      <c r="CT12" s="255" t="str">
        <f>IF(Capaian1!CK10&lt;&gt;"",Capaian1!CK10,"")</f>
        <v/>
      </c>
      <c r="CU12" s="255" t="str">
        <f>IF(Capaian1!CL10&lt;&gt;"",Capaian1!CL10,"")</f>
        <v/>
      </c>
      <c r="CV12" s="255" t="str">
        <f>IF(Capaian1!CM10&lt;&gt;"",Capaian1!CM10,"")</f>
        <v/>
      </c>
      <c r="CW12" s="255" t="str">
        <f>IF(Capaian1!CN10&lt;&gt;"",Capaian1!CN10,"")</f>
        <v/>
      </c>
      <c r="CX12" s="255" t="str">
        <f>IF(Capaian1!CO10&lt;&gt;"",Capaian1!CO10,"")</f>
        <v/>
      </c>
      <c r="CY12" s="255" t="str">
        <f>IF(Capaian1!CP10&lt;&gt;"",Capaian1!CP10,"")</f>
        <v/>
      </c>
      <c r="CZ12" s="255" t="str">
        <f>IF(Capaian1!CQ10&lt;&gt;"",Capaian1!CQ10,"")</f>
        <v/>
      </c>
      <c r="DA12" s="255">
        <f>IF(Capaian1!CR10&lt;&gt;"",Capaian1!CR10,"")</f>
        <v>4</v>
      </c>
      <c r="DB12" s="255">
        <f>IF(Capaian1!CS10&lt;&gt;"",Capaian1!CS10,"")</f>
        <v>1</v>
      </c>
      <c r="DC12" s="255">
        <f>IF(Capaian1!CT10&lt;&gt;"",Capaian1!CT10,"")</f>
        <v>8</v>
      </c>
    </row>
    <row r="13" spans="2:107" s="234" customFormat="1" x14ac:dyDescent="0.25">
      <c r="B13" s="238">
        <v>7</v>
      </c>
      <c r="C13" s="238" t="str">
        <f>Peserta_Didik!D9</f>
        <v>1314.10.113</v>
      </c>
      <c r="D13" s="238" t="str">
        <f>Peserta_Didik!C9</f>
        <v>Chandra Khoerudin</v>
      </c>
      <c r="E13" s="255">
        <f>IF(Capaian1!E11&lt;&gt;"",Capaian1!E11,"")</f>
        <v>3.2639999999999998</v>
      </c>
      <c r="F13" s="255">
        <f>IF(Capaian1!F11&lt;&gt;"",Capaian1!F11,"")</f>
        <v>3.3</v>
      </c>
      <c r="G13" s="255" t="str">
        <f>IF(Capaian1!G11&lt;&gt;"",Capaian1!G11,"")</f>
        <v>B</v>
      </c>
      <c r="H13" s="255">
        <f>IF(Capaian1!H11&lt;&gt;"",Capaian1!H11,"")</f>
        <v>3.016</v>
      </c>
      <c r="I13" s="255">
        <f>IF(Capaian1!I11&lt;&gt;"",Capaian1!I11,"")</f>
        <v>3.35</v>
      </c>
      <c r="J13" s="255" t="str">
        <f>IF(Capaian1!J11&lt;&gt;"",Capaian1!J11,"")</f>
        <v>B</v>
      </c>
      <c r="K13" s="255">
        <f>IF(Capaian1!K11&lt;&gt;"",Capaian1!K11,"")</f>
        <v>3.3439999999999999</v>
      </c>
      <c r="L13" s="255">
        <f>IF(Capaian1!L11&lt;&gt;"",Capaian1!L11,"")</f>
        <v>3.2</v>
      </c>
      <c r="M13" s="255" t="str">
        <f>IF(Capaian1!M11&lt;&gt;"",Capaian1!M11,"")</f>
        <v>B</v>
      </c>
      <c r="N13" s="255">
        <f>IF(Capaian1!N11&lt;&gt;"",Capaian1!N11,"")</f>
        <v>3.3157142857142854</v>
      </c>
      <c r="O13" s="255">
        <f>IF(Capaian1!O11&lt;&gt;"",Capaian1!O11,"")</f>
        <v>3.3992380952380952</v>
      </c>
      <c r="P13" s="255" t="str">
        <f>IF(Capaian1!P11&lt;&gt;"",Capaian1!P11,"")</f>
        <v>B</v>
      </c>
      <c r="Q13" s="255">
        <f>IF(Capaian1!Q11&lt;&gt;"",Capaian1!Q11,"")</f>
        <v>3.1759999999999997</v>
      </c>
      <c r="R13" s="255">
        <f>IF(Capaian1!R11&lt;&gt;"",Capaian1!R11,"")</f>
        <v>3.16</v>
      </c>
      <c r="S13" s="255" t="str">
        <f>IF(Capaian1!S11&lt;&gt;"",Capaian1!S11,"")</f>
        <v>B</v>
      </c>
      <c r="T13" s="255">
        <f>IF(Capaian1!T11&lt;&gt;"",Capaian1!T11,"")</f>
        <v>3.2640000000000002</v>
      </c>
      <c r="U13" s="255">
        <f>IF(Capaian1!U11&lt;&gt;"",Capaian1!U11,"")</f>
        <v>3.2439999999999998</v>
      </c>
      <c r="V13" s="255" t="str">
        <f>IF(Capaian1!V11&lt;&gt;"",Capaian1!V11,"")</f>
        <v>B</v>
      </c>
      <c r="W13" s="255">
        <f>IF(Capaian1!W11&lt;&gt;"",Capaian1!W11,"")</f>
        <v>3.2063999999999999</v>
      </c>
      <c r="X13" s="255">
        <f>IF(Capaian1!X11&lt;&gt;"",Capaian1!X11,"")</f>
        <v>3.2439999999999998</v>
      </c>
      <c r="Y13" s="255" t="str">
        <f>IF(Capaian1!Y11&lt;&gt;"",Capaian1!Y11,"")</f>
        <v>B</v>
      </c>
      <c r="Z13" s="255">
        <f>IF(Capaian1!Z11&lt;&gt;"",Capaian1!Z11,"")</f>
        <v>3.04</v>
      </c>
      <c r="AA13" s="255">
        <f>IF(Capaian1!AA11&lt;&gt;"",Capaian1!AA11,"")</f>
        <v>3.2539999999999996</v>
      </c>
      <c r="AB13" s="255" t="str">
        <f>IF(Capaian1!AB11&lt;&gt;"",Capaian1!AB11,"")</f>
        <v>B</v>
      </c>
      <c r="AC13" s="255">
        <f>IF(Capaian1!AC11&lt;&gt;"",Capaian1!AC11,"")</f>
        <v>3.1919999999999997</v>
      </c>
      <c r="AD13" s="255">
        <f>IF(Capaian1!AD11&lt;&gt;"",Capaian1!AD11,"")</f>
        <v>3.24</v>
      </c>
      <c r="AE13" s="255" t="str">
        <f>IF(Capaian1!AE11&lt;&gt;"",Capaian1!AE11,"")</f>
        <v>B</v>
      </c>
      <c r="AF13" s="255">
        <f>IF(Capaian1!AF11&lt;&gt;"",Capaian1!AF11,"")</f>
        <v>2.883</v>
      </c>
      <c r="AG13" s="255">
        <f>IF(Capaian1!AG11&lt;&gt;"",Capaian1!AG11,"")</f>
        <v>3.05</v>
      </c>
      <c r="AH13" s="255" t="str">
        <f>IF(Capaian1!AH11&lt;&gt;"",Capaian1!AH11,"")</f>
        <v>B</v>
      </c>
      <c r="AI13" s="255">
        <f>IF(Capaian1!AI11&lt;&gt;"",Capaian1!AI11,"")</f>
        <v>3.1135999999999999</v>
      </c>
      <c r="AJ13" s="255">
        <f>IF(Capaian1!AJ11&lt;&gt;"",Capaian1!AJ11,"")</f>
        <v>3.1839999999999997</v>
      </c>
      <c r="AK13" s="255" t="str">
        <f>IF(Capaian1!AK11&lt;&gt;"",Capaian1!AK11,"")</f>
        <v>B</v>
      </c>
      <c r="AL13" s="255" t="str">
        <f>IF(Capaian1!AL11&lt;&gt;"",Capaian1!AL11,"")</f>
        <v/>
      </c>
      <c r="AM13" s="255" t="str">
        <f>IF(Capaian1!AM11&lt;&gt;"",Capaian1!AM11,"")</f>
        <v/>
      </c>
      <c r="AN13" s="255" t="str">
        <f>IF(Capaian1!AN11&lt;&gt;"",Capaian1!AN11,"")</f>
        <v/>
      </c>
      <c r="AO13" s="255" t="str">
        <f>IF(Capaian1!AO11&lt;&gt;"",Capaian1!AO11,"")</f>
        <v/>
      </c>
      <c r="AP13" s="255" t="str">
        <f>IF(Capaian1!AP11&lt;&gt;"",Capaian1!AP11,"")</f>
        <v/>
      </c>
      <c r="AQ13" s="255" t="str">
        <f>IF(Capaian1!AQ11&lt;&gt;"",Capaian1!AQ11,"")</f>
        <v/>
      </c>
      <c r="AR13" s="255" t="str">
        <f>IF(Capaian1!AR11&lt;&gt;"",Capaian1!AR11,"")</f>
        <v/>
      </c>
      <c r="AS13" s="255" t="str">
        <f>IF(Capaian1!AS11&lt;&gt;"",Capaian1!AS11,"")</f>
        <v/>
      </c>
      <c r="AT13" s="255" t="str">
        <f>IF(Capaian1!AT11&lt;&gt;"",Capaian1!AT11,"")</f>
        <v/>
      </c>
      <c r="AU13" s="255" t="str">
        <f>IF(Capaian1!AU11&lt;&gt;"",Capaian1!AU11,"")</f>
        <v/>
      </c>
      <c r="AV13" s="255" t="str">
        <f>IF(Capaian1!AV11&lt;&gt;"",Capaian1!AV11,"")</f>
        <v/>
      </c>
      <c r="AW13" s="255" t="str">
        <f>IF(Capaian1!AW11&lt;&gt;"",Capaian1!AW11,"")</f>
        <v/>
      </c>
      <c r="AX13" s="255">
        <f>IF(Capaian1!AX11&lt;&gt;"",Capaian1!AX11,"")</f>
        <v>3.016</v>
      </c>
      <c r="AY13" s="255">
        <f>IF(Capaian1!AY11&lt;&gt;"",Capaian1!AY11,"")</f>
        <v>3.35</v>
      </c>
      <c r="AZ13" s="255" t="str">
        <f>IF(Capaian1!AZ11&lt;&gt;"",Capaian1!AZ11,"")</f>
        <v>B</v>
      </c>
      <c r="BA13" s="255">
        <f>IF(Capaian1!BA11&lt;&gt;"",Capaian1!BA11,"")</f>
        <v>3.0720000000000001</v>
      </c>
      <c r="BB13" s="255">
        <f>IF(Capaian1!BB11&lt;&gt;"",Capaian1!BB11,"")</f>
        <v>3.2080000000000002</v>
      </c>
      <c r="BC13" s="255" t="str">
        <f>IF(Capaian1!BC11&lt;&gt;"",Capaian1!BC11,"")</f>
        <v>B</v>
      </c>
      <c r="BD13" s="255">
        <f>IF(Capaian1!BD11&lt;&gt;"",Capaian1!BD11,"")</f>
        <v>3.1120000000000001</v>
      </c>
      <c r="BE13" s="255">
        <f>IF(Capaian1!BE11&lt;&gt;"",Capaian1!BE11,"")</f>
        <v>3.1515999999999997</v>
      </c>
      <c r="BF13" s="255" t="str">
        <f>IF(Capaian1!BF11&lt;&gt;"",Capaian1!BF11,"")</f>
        <v>B</v>
      </c>
      <c r="BG13" s="255">
        <f>IF(Capaian1!BG11&lt;&gt;"",Capaian1!BG11,"")</f>
        <v>3</v>
      </c>
      <c r="BH13" s="255">
        <f>IF(Capaian1!BH11&lt;&gt;"",Capaian1!BH11,"")</f>
        <v>2.9</v>
      </c>
      <c r="BI13" s="255" t="str">
        <f>IF(Capaian1!BI11&lt;&gt;"",Capaian1!BI11,"")</f>
        <v>B</v>
      </c>
      <c r="BJ13" s="255">
        <f>IF(Capaian1!BJ11&lt;&gt;"",Capaian1!BJ11,"")</f>
        <v>2.92</v>
      </c>
      <c r="BK13" s="255">
        <f>IF(Capaian1!BK11&lt;&gt;"",Capaian1!BK11,"")</f>
        <v>3.05</v>
      </c>
      <c r="BL13" s="255" t="str">
        <f>IF(Capaian1!BL11&lt;&gt;"",Capaian1!BL11,"")</f>
        <v>B</v>
      </c>
      <c r="BM13" s="255" t="str">
        <f>IF(Capaian1!BP11&lt;&gt;"",Capaian1!BP11,"")</f>
        <v/>
      </c>
      <c r="BN13" s="255" t="str">
        <f>IF(Capaian1!BQ11&lt;&gt;"",Capaian1!BQ11,"")</f>
        <v/>
      </c>
      <c r="BO13" s="255" t="str">
        <f>IF(Capaian1!BR11&lt;&gt;"",Capaian1!BR11,"")</f>
        <v/>
      </c>
      <c r="BP13" s="255" t="str">
        <f>IF(Capaian1!BS11&lt;&gt;"",Capaian1!BS11,"")</f>
        <v/>
      </c>
      <c r="BQ13" s="255" t="str">
        <f>IF(Capaian1!BT11&lt;&gt;"",Capaian1!BT11,"")</f>
        <v/>
      </c>
      <c r="BR13" s="255" t="str">
        <f>IF(Capaian1!BU11&lt;&gt;"",Capaian1!BU11,"")</f>
        <v/>
      </c>
      <c r="BS13" s="255" t="str">
        <f>IF(Capaian1!BV11&lt;&gt;"",Capaian1!BV11,"")</f>
        <v/>
      </c>
      <c r="BT13" s="255" t="str">
        <f>IF(Capaian1!BW11&lt;&gt;"",Capaian1!BW11,"")</f>
        <v/>
      </c>
      <c r="BU13" s="255" t="str">
        <f>IF(Capaian1!BX11&lt;&gt;"",Capaian1!BX11,"")</f>
        <v/>
      </c>
      <c r="BV13" s="255">
        <f>IF(Capaian1!BM11&lt;&gt;"",Capaian1!BM11,"")</f>
        <v>3.2480000000000002</v>
      </c>
      <c r="BW13" s="255">
        <f>IF(Capaian1!BN11&lt;&gt;"",Capaian1!BN11,"")</f>
        <v>3.2880000000000003</v>
      </c>
      <c r="BX13" s="255" t="str">
        <f>IF(Capaian1!BO11&lt;&gt;"",Capaian1!BO11,"")</f>
        <v>B</v>
      </c>
      <c r="BY13" s="255" t="str">
        <f>IF(Capaian1!BP11&lt;&gt;"",Capaian1!BP11,"")</f>
        <v/>
      </c>
      <c r="BZ13" s="255" t="str">
        <f>IF(Capaian1!BQ11&lt;&gt;"",Capaian1!BQ11,"")</f>
        <v/>
      </c>
      <c r="CA13" s="255" t="str">
        <f>IF(Capaian1!BR11&lt;&gt;"",Capaian1!BR11,"")</f>
        <v/>
      </c>
      <c r="CB13" s="255" t="str">
        <f>IF(Capaian1!BS11&lt;&gt;"",Capaian1!BS11,"")</f>
        <v/>
      </c>
      <c r="CC13" s="255" t="str">
        <f>IF(Capaian1!BT11&lt;&gt;"",Capaian1!BT11,"")</f>
        <v/>
      </c>
      <c r="CD13" s="255" t="str">
        <f>IF(Capaian1!BU11&lt;&gt;"",Capaian1!BU11,"")</f>
        <v/>
      </c>
      <c r="CE13" s="255" t="str">
        <f>IF(Capaian1!BV11&lt;&gt;"",Capaian1!BV11,"")</f>
        <v/>
      </c>
      <c r="CF13" s="255" t="str">
        <f>IF(Capaian1!BW11&lt;&gt;"",Capaian1!BW11,"")</f>
        <v/>
      </c>
      <c r="CG13" s="255" t="str">
        <f>IF(Capaian1!BX11&lt;&gt;"",Capaian1!BX11,"")</f>
        <v/>
      </c>
      <c r="CH13" s="255" t="str">
        <f>IF(Capaian1!BY11&lt;&gt;"",Capaian1!BY11,"")</f>
        <v/>
      </c>
      <c r="CI13" s="255" t="str">
        <f>IF(Capaian1!BZ11&lt;&gt;"",Capaian1!BZ11,"")</f>
        <v/>
      </c>
      <c r="CJ13" s="255" t="str">
        <f>IF(Capaian1!CA11&lt;&gt;"",Capaian1!CA11,"")</f>
        <v/>
      </c>
      <c r="CK13" s="255" t="str">
        <f>IF(Capaian1!CB11&lt;&gt;"",Capaian1!CB11,"")</f>
        <v/>
      </c>
      <c r="CL13" s="255" t="str">
        <f>IF(Capaian1!CC11&lt;&gt;"",Capaian1!CC11,"")</f>
        <v/>
      </c>
      <c r="CM13" s="255" t="str">
        <f>IF(Capaian1!CD11&lt;&gt;"",Capaian1!CD11,"")</f>
        <v/>
      </c>
      <c r="CN13" s="255" t="str">
        <f>IF(Capaian1!CE11&lt;&gt;"",Capaian1!CE11,"")</f>
        <v/>
      </c>
      <c r="CO13" s="255" t="str">
        <f>IF(Capaian1!CF11&lt;&gt;"",Capaian1!CF11,"")</f>
        <v/>
      </c>
      <c r="CP13" s="255" t="str">
        <f>IF(Capaian1!CG11&lt;&gt;"",Capaian1!CG11,"")</f>
        <v/>
      </c>
      <c r="CQ13" s="255">
        <f>IF(Capaian1!CH11&lt;&gt;"",Capaian1!CH11,"")</f>
        <v>3.4266666666666663</v>
      </c>
      <c r="CR13" s="255">
        <f>IF(Capaian1!CI11&lt;&gt;"",Capaian1!CI11,"")</f>
        <v>3.64</v>
      </c>
      <c r="CS13" s="255" t="str">
        <f>IF(Capaian1!CJ11&lt;&gt;"",Capaian1!CJ11,"")</f>
        <v>B</v>
      </c>
      <c r="CT13" s="255" t="str">
        <f>IF(Capaian1!CK11&lt;&gt;"",Capaian1!CK11,"")</f>
        <v/>
      </c>
      <c r="CU13" s="255" t="str">
        <f>IF(Capaian1!CL11&lt;&gt;"",Capaian1!CL11,"")</f>
        <v/>
      </c>
      <c r="CV13" s="255" t="str">
        <f>IF(Capaian1!CM11&lt;&gt;"",Capaian1!CM11,"")</f>
        <v/>
      </c>
      <c r="CW13" s="255" t="str">
        <f>IF(Capaian1!CN11&lt;&gt;"",Capaian1!CN11,"")</f>
        <v/>
      </c>
      <c r="CX13" s="255" t="str">
        <f>IF(Capaian1!CO11&lt;&gt;"",Capaian1!CO11,"")</f>
        <v/>
      </c>
      <c r="CY13" s="255" t="str">
        <f>IF(Capaian1!CP11&lt;&gt;"",Capaian1!CP11,"")</f>
        <v/>
      </c>
      <c r="CZ13" s="255" t="str">
        <f>IF(Capaian1!CQ11&lt;&gt;"",Capaian1!CQ11,"")</f>
        <v/>
      </c>
      <c r="DA13" s="255">
        <f>IF(Capaian1!CR11&lt;&gt;"",Capaian1!CR11,"")</f>
        <v>1</v>
      </c>
      <c r="DB13" s="255">
        <f>IF(Capaian1!CS11&lt;&gt;"",Capaian1!CS11,"")</f>
        <v>0</v>
      </c>
      <c r="DC13" s="255">
        <f>IF(Capaian1!CT11&lt;&gt;"",Capaian1!CT11,"")</f>
        <v>1</v>
      </c>
    </row>
    <row r="14" spans="2:107" s="234" customFormat="1" x14ac:dyDescent="0.25">
      <c r="B14" s="238">
        <v>8</v>
      </c>
      <c r="C14" s="238" t="str">
        <f>Peserta_Didik!D10</f>
        <v>1314.10.114</v>
      </c>
      <c r="D14" s="238" t="str">
        <f>Peserta_Didik!C10</f>
        <v>Chepy Trisnandar</v>
      </c>
      <c r="E14" s="255">
        <f>IF(Capaian1!E12&lt;&gt;"",Capaian1!E12,"")</f>
        <v>3.3279999999999994</v>
      </c>
      <c r="F14" s="255">
        <f>IF(Capaian1!F12&lt;&gt;"",Capaian1!F12,"")</f>
        <v>3.5</v>
      </c>
      <c r="G14" s="255" t="str">
        <f>IF(Capaian1!G12&lt;&gt;"",Capaian1!G12,"")</f>
        <v>B</v>
      </c>
      <c r="H14" s="255">
        <f>IF(Capaian1!H12&lt;&gt;"",Capaian1!H12,"")</f>
        <v>3.2319999999999993</v>
      </c>
      <c r="I14" s="255">
        <f>IF(Capaian1!I12&lt;&gt;"",Capaian1!I12,"")</f>
        <v>3.34</v>
      </c>
      <c r="J14" s="255" t="str">
        <f>IF(Capaian1!J12&lt;&gt;"",Capaian1!J12,"")</f>
        <v>B</v>
      </c>
      <c r="K14" s="255">
        <f>IF(Capaian1!K12&lt;&gt;"",Capaian1!K12,"")</f>
        <v>3.3440000000000003</v>
      </c>
      <c r="L14" s="255">
        <f>IF(Capaian1!L12&lt;&gt;"",Capaian1!L12,"")</f>
        <v>3.8</v>
      </c>
      <c r="M14" s="255" t="str">
        <f>IF(Capaian1!M12&lt;&gt;"",Capaian1!M12,"")</f>
        <v>SB</v>
      </c>
      <c r="N14" s="255">
        <f>IF(Capaian1!N12&lt;&gt;"",Capaian1!N12,"")</f>
        <v>2.9621428571428567</v>
      </c>
      <c r="O14" s="255">
        <f>IF(Capaian1!O12&lt;&gt;"",Capaian1!O12,"")</f>
        <v>3.0963809523809522</v>
      </c>
      <c r="P14" s="255" t="str">
        <f>IF(Capaian1!P12&lt;&gt;"",Capaian1!P12,"")</f>
        <v>B</v>
      </c>
      <c r="Q14" s="255">
        <f>IF(Capaian1!Q12&lt;&gt;"",Capaian1!Q12,"")</f>
        <v>3.0786666666666669</v>
      </c>
      <c r="R14" s="255">
        <f>IF(Capaian1!R12&lt;&gt;"",Capaian1!R12,"")</f>
        <v>3.1466666666666669</v>
      </c>
      <c r="S14" s="255" t="str">
        <f>IF(Capaian1!S12&lt;&gt;"",Capaian1!S12,"")</f>
        <v>B</v>
      </c>
      <c r="T14" s="255">
        <f>IF(Capaian1!T12&lt;&gt;"",Capaian1!T12,"")</f>
        <v>3.2640000000000002</v>
      </c>
      <c r="U14" s="255">
        <f>IF(Capaian1!U12&lt;&gt;"",Capaian1!U12,"")</f>
        <v>3.2439999999999998</v>
      </c>
      <c r="V14" s="255" t="str">
        <f>IF(Capaian1!V12&lt;&gt;"",Capaian1!V12,"")</f>
        <v>SB</v>
      </c>
      <c r="W14" s="255">
        <f>IF(Capaian1!W12&lt;&gt;"",Capaian1!W12,"")</f>
        <v>3.3327999999999998</v>
      </c>
      <c r="X14" s="255">
        <f>IF(Capaian1!X12&lt;&gt;"",Capaian1!X12,"")</f>
        <v>3.2960000000000003</v>
      </c>
      <c r="Y14" s="255" t="str">
        <f>IF(Capaian1!Y12&lt;&gt;"",Capaian1!Y12,"")</f>
        <v>B</v>
      </c>
      <c r="Z14" s="255">
        <f>IF(Capaian1!Z12&lt;&gt;"",Capaian1!Z12,"")</f>
        <v>3.44</v>
      </c>
      <c r="AA14" s="255">
        <f>IF(Capaian1!AA12&lt;&gt;"",Capaian1!AA12,"")</f>
        <v>3.3889999999999998</v>
      </c>
      <c r="AB14" s="255" t="str">
        <f>IF(Capaian1!AB12&lt;&gt;"",Capaian1!AB12,"")</f>
        <v>B</v>
      </c>
      <c r="AC14" s="255">
        <f>IF(Capaian1!AC12&lt;&gt;"",Capaian1!AC12,"")</f>
        <v>3.2</v>
      </c>
      <c r="AD14" s="255">
        <f>IF(Capaian1!AD12&lt;&gt;"",Capaian1!AD12,"")</f>
        <v>3.28</v>
      </c>
      <c r="AE14" s="255" t="str">
        <f>IF(Capaian1!AE12&lt;&gt;"",Capaian1!AE12,"")</f>
        <v>B</v>
      </c>
      <c r="AF14" s="255">
        <f>IF(Capaian1!AF12&lt;&gt;"",Capaian1!AF12,"")</f>
        <v>2.9689999999999999</v>
      </c>
      <c r="AG14" s="255">
        <f>IF(Capaian1!AG12&lt;&gt;"",Capaian1!AG12,"")</f>
        <v>3.11</v>
      </c>
      <c r="AH14" s="255" t="str">
        <f>IF(Capaian1!AH12&lt;&gt;"",Capaian1!AH12,"")</f>
        <v>SB</v>
      </c>
      <c r="AI14" s="255">
        <f>IF(Capaian1!AI12&lt;&gt;"",Capaian1!AI12,"")</f>
        <v>3.0651999999999999</v>
      </c>
      <c r="AJ14" s="255">
        <f>IF(Capaian1!AJ12&lt;&gt;"",Capaian1!AJ12,"")</f>
        <v>3.28</v>
      </c>
      <c r="AK14" s="255" t="str">
        <f>IF(Capaian1!AK12&lt;&gt;"",Capaian1!AK12,"")</f>
        <v>B</v>
      </c>
      <c r="AL14" s="255" t="str">
        <f>IF(Capaian1!AL12&lt;&gt;"",Capaian1!AL12,"")</f>
        <v/>
      </c>
      <c r="AM14" s="255" t="str">
        <f>IF(Capaian1!AM12&lt;&gt;"",Capaian1!AM12,"")</f>
        <v/>
      </c>
      <c r="AN14" s="255" t="str">
        <f>IF(Capaian1!AN12&lt;&gt;"",Capaian1!AN12,"")</f>
        <v/>
      </c>
      <c r="AO14" s="255" t="str">
        <f>IF(Capaian1!AO12&lt;&gt;"",Capaian1!AO12,"")</f>
        <v/>
      </c>
      <c r="AP14" s="255" t="str">
        <f>IF(Capaian1!AP12&lt;&gt;"",Capaian1!AP12,"")</f>
        <v/>
      </c>
      <c r="AQ14" s="255" t="str">
        <f>IF(Capaian1!AQ12&lt;&gt;"",Capaian1!AQ12,"")</f>
        <v/>
      </c>
      <c r="AR14" s="255" t="str">
        <f>IF(Capaian1!AR12&lt;&gt;"",Capaian1!AR12,"")</f>
        <v/>
      </c>
      <c r="AS14" s="255" t="str">
        <f>IF(Capaian1!AS12&lt;&gt;"",Capaian1!AS12,"")</f>
        <v/>
      </c>
      <c r="AT14" s="255" t="str">
        <f>IF(Capaian1!AT12&lt;&gt;"",Capaian1!AT12,"")</f>
        <v/>
      </c>
      <c r="AU14" s="255" t="str">
        <f>IF(Capaian1!AU12&lt;&gt;"",Capaian1!AU12,"")</f>
        <v/>
      </c>
      <c r="AV14" s="255" t="str">
        <f>IF(Capaian1!AV12&lt;&gt;"",Capaian1!AV12,"")</f>
        <v/>
      </c>
      <c r="AW14" s="255" t="str">
        <f>IF(Capaian1!AW12&lt;&gt;"",Capaian1!AW12,"")</f>
        <v/>
      </c>
      <c r="AX14" s="255">
        <f>IF(Capaian1!AX12&lt;&gt;"",Capaian1!AX12,"")</f>
        <v>3.2319999999999993</v>
      </c>
      <c r="AY14" s="255">
        <f>IF(Capaian1!AY12&lt;&gt;"",Capaian1!AY12,"")</f>
        <v>3.34</v>
      </c>
      <c r="AZ14" s="255" t="str">
        <f>IF(Capaian1!AZ12&lt;&gt;"",Capaian1!AZ12,"")</f>
        <v>B</v>
      </c>
      <c r="BA14" s="255">
        <f>IF(Capaian1!BA12&lt;&gt;"",Capaian1!BA12,"")</f>
        <v>3.1282000000000001</v>
      </c>
      <c r="BB14" s="255">
        <f>IF(Capaian1!BB12&lt;&gt;"",Capaian1!BB12,"")</f>
        <v>3.2</v>
      </c>
      <c r="BC14" s="255" t="str">
        <f>IF(Capaian1!BC12&lt;&gt;"",Capaian1!BC12,"")</f>
        <v>B</v>
      </c>
      <c r="BD14" s="255">
        <f>IF(Capaian1!BD12&lt;&gt;"",Capaian1!BD12,"")</f>
        <v>3.2719999999999998</v>
      </c>
      <c r="BE14" s="255">
        <f>IF(Capaian1!BE12&lt;&gt;"",Capaian1!BE12,"")</f>
        <v>3.3127999999999997</v>
      </c>
      <c r="BF14" s="255" t="str">
        <f>IF(Capaian1!BF12&lt;&gt;"",Capaian1!BF12,"")</f>
        <v>SB</v>
      </c>
      <c r="BG14" s="255">
        <f>IF(Capaian1!BG12&lt;&gt;"",Capaian1!BG12,"")</f>
        <v>3.0453333333333332</v>
      </c>
      <c r="BH14" s="255">
        <f>IF(Capaian1!BH12&lt;&gt;"",Capaian1!BH12,"")</f>
        <v>3.1133333333333337</v>
      </c>
      <c r="BI14" s="255" t="str">
        <f>IF(Capaian1!BI12&lt;&gt;"",Capaian1!BI12,"")</f>
        <v>B</v>
      </c>
      <c r="BJ14" s="255">
        <f>IF(Capaian1!BJ12&lt;&gt;"",Capaian1!BJ12,"")</f>
        <v>3</v>
      </c>
      <c r="BK14" s="255">
        <f>IF(Capaian1!BK12&lt;&gt;"",Capaian1!BK12,"")</f>
        <v>3.2</v>
      </c>
      <c r="BL14" s="255" t="str">
        <f>IF(Capaian1!BL12&lt;&gt;"",Capaian1!BL12,"")</f>
        <v>B</v>
      </c>
      <c r="BM14" s="255" t="str">
        <f>IF(Capaian1!BP12&lt;&gt;"",Capaian1!BP12,"")</f>
        <v/>
      </c>
      <c r="BN14" s="255" t="str">
        <f>IF(Capaian1!BQ12&lt;&gt;"",Capaian1!BQ12,"")</f>
        <v/>
      </c>
      <c r="BO14" s="255" t="str">
        <f>IF(Capaian1!BR12&lt;&gt;"",Capaian1!BR12,"")</f>
        <v/>
      </c>
      <c r="BP14" s="255" t="str">
        <f>IF(Capaian1!BS12&lt;&gt;"",Capaian1!BS12,"")</f>
        <v/>
      </c>
      <c r="BQ14" s="255" t="str">
        <f>IF(Capaian1!BT12&lt;&gt;"",Capaian1!BT12,"")</f>
        <v/>
      </c>
      <c r="BR14" s="255" t="str">
        <f>IF(Capaian1!BU12&lt;&gt;"",Capaian1!BU12,"")</f>
        <v/>
      </c>
      <c r="BS14" s="255" t="str">
        <f>IF(Capaian1!BV12&lt;&gt;"",Capaian1!BV12,"")</f>
        <v/>
      </c>
      <c r="BT14" s="255" t="str">
        <f>IF(Capaian1!BW12&lt;&gt;"",Capaian1!BW12,"")</f>
        <v/>
      </c>
      <c r="BU14" s="255" t="str">
        <f>IF(Capaian1!BX12&lt;&gt;"",Capaian1!BX12,"")</f>
        <v/>
      </c>
      <c r="BV14" s="255">
        <f>IF(Capaian1!BM12&lt;&gt;"",Capaian1!BM12,"")</f>
        <v>3.1280000000000001</v>
      </c>
      <c r="BW14" s="255">
        <f>IF(Capaian1!BN12&lt;&gt;"",Capaian1!BN12,"")</f>
        <v>3.3280000000000003</v>
      </c>
      <c r="BX14" s="255" t="str">
        <f>IF(Capaian1!BO12&lt;&gt;"",Capaian1!BO12,"")</f>
        <v>SB</v>
      </c>
      <c r="BY14" s="255" t="str">
        <f>IF(Capaian1!BP12&lt;&gt;"",Capaian1!BP12,"")</f>
        <v/>
      </c>
      <c r="BZ14" s="255" t="str">
        <f>IF(Capaian1!BQ12&lt;&gt;"",Capaian1!BQ12,"")</f>
        <v/>
      </c>
      <c r="CA14" s="255" t="str">
        <f>IF(Capaian1!BR12&lt;&gt;"",Capaian1!BR12,"")</f>
        <v/>
      </c>
      <c r="CB14" s="255" t="str">
        <f>IF(Capaian1!BS12&lt;&gt;"",Capaian1!BS12,"")</f>
        <v/>
      </c>
      <c r="CC14" s="255" t="str">
        <f>IF(Capaian1!BT12&lt;&gt;"",Capaian1!BT12,"")</f>
        <v/>
      </c>
      <c r="CD14" s="255" t="str">
        <f>IF(Capaian1!BU12&lt;&gt;"",Capaian1!BU12,"")</f>
        <v/>
      </c>
      <c r="CE14" s="255" t="str">
        <f>IF(Capaian1!BV12&lt;&gt;"",Capaian1!BV12,"")</f>
        <v/>
      </c>
      <c r="CF14" s="255" t="str">
        <f>IF(Capaian1!BW12&lt;&gt;"",Capaian1!BW12,"")</f>
        <v/>
      </c>
      <c r="CG14" s="255" t="str">
        <f>IF(Capaian1!BX12&lt;&gt;"",Capaian1!BX12,"")</f>
        <v/>
      </c>
      <c r="CH14" s="255" t="str">
        <f>IF(Capaian1!BY12&lt;&gt;"",Capaian1!BY12,"")</f>
        <v/>
      </c>
      <c r="CI14" s="255" t="str">
        <f>IF(Capaian1!BZ12&lt;&gt;"",Capaian1!BZ12,"")</f>
        <v/>
      </c>
      <c r="CJ14" s="255" t="str">
        <f>IF(Capaian1!CA12&lt;&gt;"",Capaian1!CA12,"")</f>
        <v/>
      </c>
      <c r="CK14" s="255" t="str">
        <f>IF(Capaian1!CB12&lt;&gt;"",Capaian1!CB12,"")</f>
        <v/>
      </c>
      <c r="CL14" s="255" t="str">
        <f>IF(Capaian1!CC12&lt;&gt;"",Capaian1!CC12,"")</f>
        <v/>
      </c>
      <c r="CM14" s="255" t="str">
        <f>IF(Capaian1!CD12&lt;&gt;"",Capaian1!CD12,"")</f>
        <v/>
      </c>
      <c r="CN14" s="255" t="str">
        <f>IF(Capaian1!CE12&lt;&gt;"",Capaian1!CE12,"")</f>
        <v/>
      </c>
      <c r="CO14" s="255" t="str">
        <f>IF(Capaian1!CF12&lt;&gt;"",Capaian1!CF12,"")</f>
        <v/>
      </c>
      <c r="CP14" s="255" t="str">
        <f>IF(Capaian1!CG12&lt;&gt;"",Capaian1!CG12,"")</f>
        <v/>
      </c>
      <c r="CQ14" s="255">
        <f>IF(Capaian1!CH12&lt;&gt;"",Capaian1!CH12,"")</f>
        <v>3.4666666666666663</v>
      </c>
      <c r="CR14" s="255">
        <f>IF(Capaian1!CI12&lt;&gt;"",Capaian1!CI12,"")</f>
        <v>3.7</v>
      </c>
      <c r="CS14" s="255" t="str">
        <f>IF(Capaian1!CJ12&lt;&gt;"",Capaian1!CJ12,"")</f>
        <v>B</v>
      </c>
      <c r="CT14" s="255" t="str">
        <f>IF(Capaian1!CK12&lt;&gt;"",Capaian1!CK12,"")</f>
        <v/>
      </c>
      <c r="CU14" s="255" t="str">
        <f>IF(Capaian1!CL12&lt;&gt;"",Capaian1!CL12,"")</f>
        <v/>
      </c>
      <c r="CV14" s="255" t="str">
        <f>IF(Capaian1!CM12&lt;&gt;"",Capaian1!CM12,"")</f>
        <v/>
      </c>
      <c r="CW14" s="255" t="str">
        <f>IF(Capaian1!CN12&lt;&gt;"",Capaian1!CN12,"")</f>
        <v>OSIS</v>
      </c>
      <c r="CX14" s="255" t="str">
        <f>IF(Capaian1!CO12&lt;&gt;"",Capaian1!CO12,"")</f>
        <v>A</v>
      </c>
      <c r="CY14" s="255" t="str">
        <f>IF(Capaian1!CP12&lt;&gt;"",Capaian1!CP12,"")</f>
        <v/>
      </c>
      <c r="CZ14" s="255" t="str">
        <f>IF(Capaian1!CQ12&lt;&gt;"",Capaian1!CQ12,"")</f>
        <v/>
      </c>
      <c r="DA14" s="255">
        <f>IF(Capaian1!CR12&lt;&gt;"",Capaian1!CR12,"")</f>
        <v>0</v>
      </c>
      <c r="DB14" s="255">
        <f>IF(Capaian1!CS12&lt;&gt;"",Capaian1!CS12,"")</f>
        <v>2</v>
      </c>
      <c r="DC14" s="255">
        <f>IF(Capaian1!CT12&lt;&gt;"",Capaian1!CT12,"")</f>
        <v>0</v>
      </c>
    </row>
    <row r="15" spans="2:107" s="234" customFormat="1" x14ac:dyDescent="0.25">
      <c r="B15" s="238">
        <v>9</v>
      </c>
      <c r="C15" s="238" t="str">
        <f>Peserta_Didik!D11</f>
        <v>1314.10.115</v>
      </c>
      <c r="D15" s="238" t="str">
        <f>Peserta_Didik!C11</f>
        <v>Dinda Prastiwi</v>
      </c>
      <c r="E15" s="255">
        <f>IF(Capaian1!E13&lt;&gt;"",Capaian1!E13,"")</f>
        <v>3.48</v>
      </c>
      <c r="F15" s="255">
        <f>IF(Capaian1!F13&lt;&gt;"",Capaian1!F13,"")</f>
        <v>3.52</v>
      </c>
      <c r="G15" s="255" t="str">
        <f>IF(Capaian1!G13&lt;&gt;"",Capaian1!G13,"")</f>
        <v>B</v>
      </c>
      <c r="H15" s="255">
        <f>IF(Capaian1!H13&lt;&gt;"",Capaian1!H13,"")</f>
        <v>3.2960000000000003</v>
      </c>
      <c r="I15" s="255">
        <f>IF(Capaian1!I13&lt;&gt;"",Capaian1!I13,"")</f>
        <v>3.4</v>
      </c>
      <c r="J15" s="255" t="str">
        <f>IF(Capaian1!J13&lt;&gt;"",Capaian1!J13,"")</f>
        <v>B</v>
      </c>
      <c r="K15" s="255">
        <f>IF(Capaian1!K13&lt;&gt;"",Capaian1!K13,"")</f>
        <v>3.6719999999999997</v>
      </c>
      <c r="L15" s="255">
        <f>IF(Capaian1!L13&lt;&gt;"",Capaian1!L13,"")</f>
        <v>3.8</v>
      </c>
      <c r="M15" s="255" t="str">
        <f>IF(Capaian1!M13&lt;&gt;"",Capaian1!M13,"")</f>
        <v>SB</v>
      </c>
      <c r="N15" s="255">
        <f>IF(Capaian1!N13&lt;&gt;"",Capaian1!N13,"")</f>
        <v>2.5860000000000003</v>
      </c>
      <c r="O15" s="255">
        <f>IF(Capaian1!O13&lt;&gt;"",Capaian1!O13,"")</f>
        <v>2.68</v>
      </c>
      <c r="P15" s="255" t="str">
        <f>IF(Capaian1!P13&lt;&gt;"",Capaian1!P13,"")</f>
        <v>B</v>
      </c>
      <c r="Q15" s="255">
        <f>IF(Capaian1!Q13&lt;&gt;"",Capaian1!Q13,"")</f>
        <v>3.1039999999999996</v>
      </c>
      <c r="R15" s="255">
        <f>IF(Capaian1!R13&lt;&gt;"",Capaian1!R13,"")</f>
        <v>3.2</v>
      </c>
      <c r="S15" s="255" t="str">
        <f>IF(Capaian1!S13&lt;&gt;"",Capaian1!S13,"")</f>
        <v>B</v>
      </c>
      <c r="T15" s="255">
        <f>IF(Capaian1!T13&lt;&gt;"",Capaian1!T13,"")</f>
        <v>3.2640000000000002</v>
      </c>
      <c r="U15" s="255">
        <f>IF(Capaian1!U13&lt;&gt;"",Capaian1!U13,"")</f>
        <v>3.2439999999999998</v>
      </c>
      <c r="V15" s="255" t="str">
        <f>IF(Capaian1!V13&lt;&gt;"",Capaian1!V13,"")</f>
        <v>SB</v>
      </c>
      <c r="W15" s="255">
        <f>IF(Capaian1!W13&lt;&gt;"",Capaian1!W13,"")</f>
        <v>3.3024</v>
      </c>
      <c r="X15" s="255">
        <f>IF(Capaian1!X13&lt;&gt;"",Capaian1!X13,"")</f>
        <v>3.3</v>
      </c>
      <c r="Y15" s="255" t="str">
        <f>IF(Capaian1!Y13&lt;&gt;"",Capaian1!Y13,"")</f>
        <v>B</v>
      </c>
      <c r="Z15" s="255">
        <f>IF(Capaian1!Z13&lt;&gt;"",Capaian1!Z13,"")</f>
        <v>3.28</v>
      </c>
      <c r="AA15" s="255">
        <f>IF(Capaian1!AA13&lt;&gt;"",Capaian1!AA13,"")</f>
        <v>3.1289999999999996</v>
      </c>
      <c r="AB15" s="255" t="str">
        <f>IF(Capaian1!AB13&lt;&gt;"",Capaian1!AB13,"")</f>
        <v>B</v>
      </c>
      <c r="AC15" s="255">
        <f>IF(Capaian1!AC13&lt;&gt;"",Capaian1!AC13,"")</f>
        <v>3.2639999999999998</v>
      </c>
      <c r="AD15" s="255">
        <f>IF(Capaian1!AD13&lt;&gt;"",Capaian1!AD13,"")</f>
        <v>3.3</v>
      </c>
      <c r="AE15" s="255" t="str">
        <f>IF(Capaian1!AE13&lt;&gt;"",Capaian1!AE13,"")</f>
        <v>B</v>
      </c>
      <c r="AF15" s="255">
        <f>IF(Capaian1!AF13&lt;&gt;"",Capaian1!AF13,"")</f>
        <v>3.2149999999999999</v>
      </c>
      <c r="AG15" s="255">
        <f>IF(Capaian1!AG13&lt;&gt;"",Capaian1!AG13,"")</f>
        <v>3.2</v>
      </c>
      <c r="AH15" s="255" t="str">
        <f>IF(Capaian1!AH13&lt;&gt;"",Capaian1!AH13,"")</f>
        <v>SB</v>
      </c>
      <c r="AI15" s="255">
        <f>IF(Capaian1!AI13&lt;&gt;"",Capaian1!AI13,"")</f>
        <v>3.0746000000000002</v>
      </c>
      <c r="AJ15" s="255">
        <f>IF(Capaian1!AJ13&lt;&gt;"",Capaian1!AJ13,"")</f>
        <v>3.1680000000000001</v>
      </c>
      <c r="AK15" s="255" t="str">
        <f>IF(Capaian1!AK13&lt;&gt;"",Capaian1!AK13,"")</f>
        <v>B</v>
      </c>
      <c r="AL15" s="255" t="str">
        <f>IF(Capaian1!AL13&lt;&gt;"",Capaian1!AL13,"")</f>
        <v/>
      </c>
      <c r="AM15" s="255" t="str">
        <f>IF(Capaian1!AM13&lt;&gt;"",Capaian1!AM13,"")</f>
        <v/>
      </c>
      <c r="AN15" s="255" t="str">
        <f>IF(Capaian1!AN13&lt;&gt;"",Capaian1!AN13,"")</f>
        <v/>
      </c>
      <c r="AO15" s="255" t="str">
        <f>IF(Capaian1!AO13&lt;&gt;"",Capaian1!AO13,"")</f>
        <v/>
      </c>
      <c r="AP15" s="255" t="str">
        <f>IF(Capaian1!AP13&lt;&gt;"",Capaian1!AP13,"")</f>
        <v/>
      </c>
      <c r="AQ15" s="255" t="str">
        <f>IF(Capaian1!AQ13&lt;&gt;"",Capaian1!AQ13,"")</f>
        <v/>
      </c>
      <c r="AR15" s="255" t="str">
        <f>IF(Capaian1!AR13&lt;&gt;"",Capaian1!AR13,"")</f>
        <v/>
      </c>
      <c r="AS15" s="255" t="str">
        <f>IF(Capaian1!AS13&lt;&gt;"",Capaian1!AS13,"")</f>
        <v/>
      </c>
      <c r="AT15" s="255" t="str">
        <f>IF(Capaian1!AT13&lt;&gt;"",Capaian1!AT13,"")</f>
        <v/>
      </c>
      <c r="AU15" s="255" t="str">
        <f>IF(Capaian1!AU13&lt;&gt;"",Capaian1!AU13,"")</f>
        <v/>
      </c>
      <c r="AV15" s="255" t="str">
        <f>IF(Capaian1!AV13&lt;&gt;"",Capaian1!AV13,"")</f>
        <v/>
      </c>
      <c r="AW15" s="255" t="str">
        <f>IF(Capaian1!AW13&lt;&gt;"",Capaian1!AW13,"")</f>
        <v/>
      </c>
      <c r="AX15" s="255">
        <f>IF(Capaian1!AX13&lt;&gt;"",Capaian1!AX13,"")</f>
        <v>3.2960000000000003</v>
      </c>
      <c r="AY15" s="255">
        <f>IF(Capaian1!AY13&lt;&gt;"",Capaian1!AY13,"")</f>
        <v>3.4</v>
      </c>
      <c r="AZ15" s="255" t="str">
        <f>IF(Capaian1!AZ13&lt;&gt;"",Capaian1!AZ13,"")</f>
        <v>B</v>
      </c>
      <c r="BA15" s="255">
        <f>IF(Capaian1!BA13&lt;&gt;"",Capaian1!BA13,"")</f>
        <v>3.0679999999999996</v>
      </c>
      <c r="BB15" s="255">
        <f>IF(Capaian1!BB13&lt;&gt;"",Capaian1!BB13,"")</f>
        <v>3.1839999999999997</v>
      </c>
      <c r="BC15" s="255" t="str">
        <f>IF(Capaian1!BC13&lt;&gt;"",Capaian1!BC13,"")</f>
        <v>B</v>
      </c>
      <c r="BD15" s="255">
        <f>IF(Capaian1!BD13&lt;&gt;"",Capaian1!BD13,"")</f>
        <v>3.1519999999999997</v>
      </c>
      <c r="BE15" s="255">
        <f>IF(Capaian1!BE13&lt;&gt;"",Capaian1!BE13,"")</f>
        <v>3.2508000000000004</v>
      </c>
      <c r="BF15" s="255" t="str">
        <f>IF(Capaian1!BF13&lt;&gt;"",Capaian1!BF13,"")</f>
        <v>B</v>
      </c>
      <c r="BG15" s="255">
        <f>IF(Capaian1!BG13&lt;&gt;"",Capaian1!BG13,"")</f>
        <v>2.9466666666666663</v>
      </c>
      <c r="BH15" s="255">
        <f>IF(Capaian1!BH13&lt;&gt;"",Capaian1!BH13,"")</f>
        <v>2.9666666666666663</v>
      </c>
      <c r="BI15" s="255" t="str">
        <f>IF(Capaian1!BI13&lt;&gt;"",Capaian1!BI13,"")</f>
        <v>B</v>
      </c>
      <c r="BJ15" s="255">
        <f>IF(Capaian1!BJ13&lt;&gt;"",Capaian1!BJ13,"")</f>
        <v>2.84</v>
      </c>
      <c r="BK15" s="255">
        <f>IF(Capaian1!BK13&lt;&gt;"",Capaian1!BK13,"")</f>
        <v>3</v>
      </c>
      <c r="BL15" s="255" t="str">
        <f>IF(Capaian1!BL13&lt;&gt;"",Capaian1!BL13,"")</f>
        <v>B</v>
      </c>
      <c r="BM15" s="255" t="str">
        <f>IF(Capaian1!BP13&lt;&gt;"",Capaian1!BP13,"")</f>
        <v/>
      </c>
      <c r="BN15" s="255" t="str">
        <f>IF(Capaian1!BQ13&lt;&gt;"",Capaian1!BQ13,"")</f>
        <v/>
      </c>
      <c r="BO15" s="255" t="str">
        <f>IF(Capaian1!BR13&lt;&gt;"",Capaian1!BR13,"")</f>
        <v/>
      </c>
      <c r="BP15" s="255" t="str">
        <f>IF(Capaian1!BS13&lt;&gt;"",Capaian1!BS13,"")</f>
        <v/>
      </c>
      <c r="BQ15" s="255" t="str">
        <f>IF(Capaian1!BT13&lt;&gt;"",Capaian1!BT13,"")</f>
        <v/>
      </c>
      <c r="BR15" s="255" t="str">
        <f>IF(Capaian1!BU13&lt;&gt;"",Capaian1!BU13,"")</f>
        <v/>
      </c>
      <c r="BS15" s="255" t="str">
        <f>IF(Capaian1!BV13&lt;&gt;"",Capaian1!BV13,"")</f>
        <v/>
      </c>
      <c r="BT15" s="255" t="str">
        <f>IF(Capaian1!BW13&lt;&gt;"",Capaian1!BW13,"")</f>
        <v/>
      </c>
      <c r="BU15" s="255" t="str">
        <f>IF(Capaian1!BX13&lt;&gt;"",Capaian1!BX13,"")</f>
        <v/>
      </c>
      <c r="BV15" s="255">
        <f>IF(Capaian1!BM13&lt;&gt;"",Capaian1!BM13,"")</f>
        <v>3.1120000000000001</v>
      </c>
      <c r="BW15" s="255">
        <f>IF(Capaian1!BN13&lt;&gt;"",Capaian1!BN13,"")</f>
        <v>3.3160000000000003</v>
      </c>
      <c r="BX15" s="255" t="str">
        <f>IF(Capaian1!BO13&lt;&gt;"",Capaian1!BO13,"")</f>
        <v>B</v>
      </c>
      <c r="BY15" s="255" t="str">
        <f>IF(Capaian1!BP13&lt;&gt;"",Capaian1!BP13,"")</f>
        <v/>
      </c>
      <c r="BZ15" s="255" t="str">
        <f>IF(Capaian1!BQ13&lt;&gt;"",Capaian1!BQ13,"")</f>
        <v/>
      </c>
      <c r="CA15" s="255" t="str">
        <f>IF(Capaian1!BR13&lt;&gt;"",Capaian1!BR13,"")</f>
        <v/>
      </c>
      <c r="CB15" s="255" t="str">
        <f>IF(Capaian1!BS13&lt;&gt;"",Capaian1!BS13,"")</f>
        <v/>
      </c>
      <c r="CC15" s="255" t="str">
        <f>IF(Capaian1!BT13&lt;&gt;"",Capaian1!BT13,"")</f>
        <v/>
      </c>
      <c r="CD15" s="255" t="str">
        <f>IF(Capaian1!BU13&lt;&gt;"",Capaian1!BU13,"")</f>
        <v/>
      </c>
      <c r="CE15" s="255" t="str">
        <f>IF(Capaian1!BV13&lt;&gt;"",Capaian1!BV13,"")</f>
        <v/>
      </c>
      <c r="CF15" s="255" t="str">
        <f>IF(Capaian1!BW13&lt;&gt;"",Capaian1!BW13,"")</f>
        <v/>
      </c>
      <c r="CG15" s="255" t="str">
        <f>IF(Capaian1!BX13&lt;&gt;"",Capaian1!BX13,"")</f>
        <v/>
      </c>
      <c r="CH15" s="255" t="str">
        <f>IF(Capaian1!BY13&lt;&gt;"",Capaian1!BY13,"")</f>
        <v/>
      </c>
      <c r="CI15" s="255" t="str">
        <f>IF(Capaian1!BZ13&lt;&gt;"",Capaian1!BZ13,"")</f>
        <v/>
      </c>
      <c r="CJ15" s="255" t="str">
        <f>IF(Capaian1!CA13&lt;&gt;"",Capaian1!CA13,"")</f>
        <v/>
      </c>
      <c r="CK15" s="255" t="str">
        <f>IF(Capaian1!CB13&lt;&gt;"",Capaian1!CB13,"")</f>
        <v/>
      </c>
      <c r="CL15" s="255" t="str">
        <f>IF(Capaian1!CC13&lt;&gt;"",Capaian1!CC13,"")</f>
        <v/>
      </c>
      <c r="CM15" s="255" t="str">
        <f>IF(Capaian1!CD13&lt;&gt;"",Capaian1!CD13,"")</f>
        <v/>
      </c>
      <c r="CN15" s="255" t="str">
        <f>IF(Capaian1!CE13&lt;&gt;"",Capaian1!CE13,"")</f>
        <v/>
      </c>
      <c r="CO15" s="255" t="str">
        <f>IF(Capaian1!CF13&lt;&gt;"",Capaian1!CF13,"")</f>
        <v/>
      </c>
      <c r="CP15" s="255" t="str">
        <f>IF(Capaian1!CG13&lt;&gt;"",Capaian1!CG13,"")</f>
        <v/>
      </c>
      <c r="CQ15" s="255">
        <f>IF(Capaian1!CH13&lt;&gt;"",Capaian1!CH13,"")</f>
        <v>3.5066666666666664</v>
      </c>
      <c r="CR15" s="255">
        <f>IF(Capaian1!CI13&lt;&gt;"",Capaian1!CI13,"")</f>
        <v>3.54</v>
      </c>
      <c r="CS15" s="255" t="str">
        <f>IF(Capaian1!CJ13&lt;&gt;"",Capaian1!CJ13,"")</f>
        <v>B</v>
      </c>
      <c r="CT15" s="255" t="str">
        <f>IF(Capaian1!CK13&lt;&gt;"",Capaian1!CK13,"")</f>
        <v/>
      </c>
      <c r="CU15" s="255" t="str">
        <f>IF(Capaian1!CL13&lt;&gt;"",Capaian1!CL13,"")</f>
        <v/>
      </c>
      <c r="CV15" s="255" t="str">
        <f>IF(Capaian1!CM13&lt;&gt;"",Capaian1!CM13,"")</f>
        <v/>
      </c>
      <c r="CW15" s="255" t="str">
        <f>IF(Capaian1!CN13&lt;&gt;"",Capaian1!CN13,"")</f>
        <v>--</v>
      </c>
      <c r="CX15" s="255" t="str">
        <f>IF(Capaian1!CO13&lt;&gt;"",Capaian1!CO13,"")</f>
        <v/>
      </c>
      <c r="CY15" s="255" t="str">
        <f>IF(Capaian1!CP13&lt;&gt;"",Capaian1!CP13,"")</f>
        <v/>
      </c>
      <c r="CZ15" s="255" t="str">
        <f>IF(Capaian1!CQ13&lt;&gt;"",Capaian1!CQ13,"")</f>
        <v/>
      </c>
      <c r="DA15" s="255">
        <f>IF(Capaian1!CR13&lt;&gt;"",Capaian1!CR13,"")</f>
        <v>1</v>
      </c>
      <c r="DB15" s="255">
        <f>IF(Capaian1!CS13&lt;&gt;"",Capaian1!CS13,"")</f>
        <v>1</v>
      </c>
      <c r="DC15" s="255">
        <f>IF(Capaian1!CT13&lt;&gt;"",Capaian1!CT13,"")</f>
        <v>0</v>
      </c>
    </row>
    <row r="16" spans="2:107" s="234" customFormat="1" x14ac:dyDescent="0.25">
      <c r="B16" s="238">
        <v>10</v>
      </c>
      <c r="C16" s="238" t="str">
        <f>Peserta_Didik!D12</f>
        <v>1314.10.116</v>
      </c>
      <c r="D16" s="238" t="str">
        <f>Peserta_Didik!C12</f>
        <v>Dwiki Pratama Suherman</v>
      </c>
      <c r="E16" s="255">
        <f>IF(Capaian1!E14&lt;&gt;"",Capaian1!E14,"")</f>
        <v>3.2720000000000002</v>
      </c>
      <c r="F16" s="255">
        <f>IF(Capaian1!F14&lt;&gt;"",Capaian1!F14,"")</f>
        <v>3.44</v>
      </c>
      <c r="G16" s="255" t="str">
        <f>IF(Capaian1!G14&lt;&gt;"",Capaian1!G14,"")</f>
        <v>B</v>
      </c>
      <c r="H16" s="255">
        <f>IF(Capaian1!H14&lt;&gt;"",Capaian1!H14,"")</f>
        <v>3.1919999999999997</v>
      </c>
      <c r="I16" s="255">
        <f>IF(Capaian1!I14&lt;&gt;"",Capaian1!I14,"")</f>
        <v>3.39</v>
      </c>
      <c r="J16" s="255" t="str">
        <f>IF(Capaian1!J14&lt;&gt;"",Capaian1!J14,"")</f>
        <v>B</v>
      </c>
      <c r="K16" s="255">
        <f>IF(Capaian1!K14&lt;&gt;"",Capaian1!K14,"")</f>
        <v>3.3359999999999999</v>
      </c>
      <c r="L16" s="255">
        <f>IF(Capaian1!L14&lt;&gt;"",Capaian1!L14,"")</f>
        <v>3.4</v>
      </c>
      <c r="M16" s="255" t="str">
        <f>IF(Capaian1!M14&lt;&gt;"",Capaian1!M14,"")</f>
        <v>B</v>
      </c>
      <c r="N16" s="255">
        <f>IF(Capaian1!N14&lt;&gt;"",Capaian1!N14,"")</f>
        <v>2.5098571428571428</v>
      </c>
      <c r="O16" s="255">
        <f>IF(Capaian1!O14&lt;&gt;"",Capaian1!O14,"")</f>
        <v>2.5302857142857142</v>
      </c>
      <c r="P16" s="255" t="str">
        <f>IF(Capaian1!P14&lt;&gt;"",Capaian1!P14,"")</f>
        <v>B</v>
      </c>
      <c r="Q16" s="255">
        <f>IF(Capaian1!Q14&lt;&gt;"",Capaian1!Q14,"")</f>
        <v>3.0293333333333328</v>
      </c>
      <c r="R16" s="255">
        <f>IF(Capaian1!R14&lt;&gt;"",Capaian1!R14,"")</f>
        <v>3.08</v>
      </c>
      <c r="S16" s="255" t="str">
        <f>IF(Capaian1!S14&lt;&gt;"",Capaian1!S14,"")</f>
        <v>B</v>
      </c>
      <c r="T16" s="255">
        <f>IF(Capaian1!T14&lt;&gt;"",Capaian1!T14,"")</f>
        <v>3.2639999999999998</v>
      </c>
      <c r="U16" s="255">
        <f>IF(Capaian1!U14&lt;&gt;"",Capaian1!U14,"")</f>
        <v>3.2439999999999998</v>
      </c>
      <c r="V16" s="255" t="str">
        <f>IF(Capaian1!V14&lt;&gt;"",Capaian1!V14,"")</f>
        <v>B</v>
      </c>
      <c r="W16" s="255">
        <f>IF(Capaian1!W14&lt;&gt;"",Capaian1!W14,"")</f>
        <v>3.2911999999999999</v>
      </c>
      <c r="X16" s="255">
        <f>IF(Capaian1!X14&lt;&gt;"",Capaian1!X14,"")</f>
        <v>3.2719999999999998</v>
      </c>
      <c r="Y16" s="255" t="str">
        <f>IF(Capaian1!Y14&lt;&gt;"",Capaian1!Y14,"")</f>
        <v>B</v>
      </c>
      <c r="Z16" s="255">
        <f>IF(Capaian1!Z14&lt;&gt;"",Capaian1!Z14,"")</f>
        <v>3.04</v>
      </c>
      <c r="AA16" s="255">
        <f>IF(Capaian1!AA14&lt;&gt;"",Capaian1!AA14,"")</f>
        <v>3.383</v>
      </c>
      <c r="AB16" s="255" t="str">
        <f>IF(Capaian1!AB14&lt;&gt;"",Capaian1!AB14,"")</f>
        <v>B</v>
      </c>
      <c r="AC16" s="255">
        <f>IF(Capaian1!AC14&lt;&gt;"",Capaian1!AC14,"")</f>
        <v>3.2</v>
      </c>
      <c r="AD16" s="255">
        <f>IF(Capaian1!AD14&lt;&gt;"",Capaian1!AD14,"")</f>
        <v>3.28</v>
      </c>
      <c r="AE16" s="255" t="str">
        <f>IF(Capaian1!AE14&lt;&gt;"",Capaian1!AE14,"")</f>
        <v>SB</v>
      </c>
      <c r="AF16" s="255">
        <f>IF(Capaian1!AF14&lt;&gt;"",Capaian1!AF14,"")</f>
        <v>2.91</v>
      </c>
      <c r="AG16" s="255">
        <f>IF(Capaian1!AG14&lt;&gt;"",Capaian1!AG14,"")</f>
        <v>3.1</v>
      </c>
      <c r="AH16" s="255" t="str">
        <f>IF(Capaian1!AH14&lt;&gt;"",Capaian1!AH14,"")</f>
        <v>B</v>
      </c>
      <c r="AI16" s="255">
        <f>IF(Capaian1!AI14&lt;&gt;"",Capaian1!AI14,"")</f>
        <v>3.1456000000000004</v>
      </c>
      <c r="AJ16" s="255">
        <f>IF(Capaian1!AJ14&lt;&gt;"",Capaian1!AJ14,"")</f>
        <v>3.2239999999999998</v>
      </c>
      <c r="AK16" s="255" t="str">
        <f>IF(Capaian1!AK14&lt;&gt;"",Capaian1!AK14,"")</f>
        <v>B</v>
      </c>
      <c r="AL16" s="255" t="str">
        <f>IF(Capaian1!AL14&lt;&gt;"",Capaian1!AL14,"")</f>
        <v/>
      </c>
      <c r="AM16" s="255" t="str">
        <f>IF(Capaian1!AM14&lt;&gt;"",Capaian1!AM14,"")</f>
        <v/>
      </c>
      <c r="AN16" s="255" t="str">
        <f>IF(Capaian1!AN14&lt;&gt;"",Capaian1!AN14,"")</f>
        <v/>
      </c>
      <c r="AO16" s="255" t="str">
        <f>IF(Capaian1!AO14&lt;&gt;"",Capaian1!AO14,"")</f>
        <v/>
      </c>
      <c r="AP16" s="255" t="str">
        <f>IF(Capaian1!AP14&lt;&gt;"",Capaian1!AP14,"")</f>
        <v/>
      </c>
      <c r="AQ16" s="255" t="str">
        <f>IF(Capaian1!AQ14&lt;&gt;"",Capaian1!AQ14,"")</f>
        <v/>
      </c>
      <c r="AR16" s="255" t="str">
        <f>IF(Capaian1!AR14&lt;&gt;"",Capaian1!AR14,"")</f>
        <v/>
      </c>
      <c r="AS16" s="255" t="str">
        <f>IF(Capaian1!AS14&lt;&gt;"",Capaian1!AS14,"")</f>
        <v/>
      </c>
      <c r="AT16" s="255" t="str">
        <f>IF(Capaian1!AT14&lt;&gt;"",Capaian1!AT14,"")</f>
        <v/>
      </c>
      <c r="AU16" s="255" t="str">
        <f>IF(Capaian1!AU14&lt;&gt;"",Capaian1!AU14,"")</f>
        <v/>
      </c>
      <c r="AV16" s="255" t="str">
        <f>IF(Capaian1!AV14&lt;&gt;"",Capaian1!AV14,"")</f>
        <v/>
      </c>
      <c r="AW16" s="255" t="str">
        <f>IF(Capaian1!AW14&lt;&gt;"",Capaian1!AW14,"")</f>
        <v/>
      </c>
      <c r="AX16" s="255">
        <f>IF(Capaian1!AX14&lt;&gt;"",Capaian1!AX14,"")</f>
        <v>3.1919999999999997</v>
      </c>
      <c r="AY16" s="255">
        <f>IF(Capaian1!AY14&lt;&gt;"",Capaian1!AY14,"")</f>
        <v>3.39</v>
      </c>
      <c r="AZ16" s="255" t="str">
        <f>IF(Capaian1!AZ14&lt;&gt;"",Capaian1!AZ14,"")</f>
        <v>B</v>
      </c>
      <c r="BA16" s="255">
        <f>IF(Capaian1!BA14&lt;&gt;"",Capaian1!BA14,"")</f>
        <v>3.1919999999999997</v>
      </c>
      <c r="BB16" s="255">
        <f>IF(Capaian1!BB14&lt;&gt;"",Capaian1!BB14,"")</f>
        <v>3.2560000000000002</v>
      </c>
      <c r="BC16" s="255" t="str">
        <f>IF(Capaian1!BC14&lt;&gt;"",Capaian1!BC14,"")</f>
        <v>B</v>
      </c>
      <c r="BD16" s="255">
        <f>IF(Capaian1!BD14&lt;&gt;"",Capaian1!BD14,"")</f>
        <v>3.2319999999999998</v>
      </c>
      <c r="BE16" s="255">
        <f>IF(Capaian1!BE14&lt;&gt;"",Capaian1!BE14,"")</f>
        <v>3.2251999999999996</v>
      </c>
      <c r="BF16" s="255" t="str">
        <f>IF(Capaian1!BF14&lt;&gt;"",Capaian1!BF14,"")</f>
        <v>B</v>
      </c>
      <c r="BG16" s="255">
        <f>IF(Capaian1!BG14&lt;&gt;"",Capaian1!BG14,"")</f>
        <v>3.0666666666666664</v>
      </c>
      <c r="BH16" s="255">
        <f>IF(Capaian1!BH14&lt;&gt;"",Capaian1!BH14,"")</f>
        <v>2.9666666666666663</v>
      </c>
      <c r="BI16" s="255" t="str">
        <f>IF(Capaian1!BI14&lt;&gt;"",Capaian1!BI14,"")</f>
        <v>B</v>
      </c>
      <c r="BJ16" s="255">
        <f>IF(Capaian1!BJ14&lt;&gt;"",Capaian1!BJ14,"")</f>
        <v>3</v>
      </c>
      <c r="BK16" s="255">
        <f>IF(Capaian1!BK14&lt;&gt;"",Capaian1!BK14,"")</f>
        <v>3.4</v>
      </c>
      <c r="BL16" s="255" t="str">
        <f>IF(Capaian1!BL14&lt;&gt;"",Capaian1!BL14,"")</f>
        <v>B</v>
      </c>
      <c r="BM16" s="255" t="str">
        <f>IF(Capaian1!BP14&lt;&gt;"",Capaian1!BP14,"")</f>
        <v/>
      </c>
      <c r="BN16" s="255" t="str">
        <f>IF(Capaian1!BQ14&lt;&gt;"",Capaian1!BQ14,"")</f>
        <v/>
      </c>
      <c r="BO16" s="255" t="str">
        <f>IF(Capaian1!BR14&lt;&gt;"",Capaian1!BR14,"")</f>
        <v/>
      </c>
      <c r="BP16" s="255" t="str">
        <f>IF(Capaian1!BS14&lt;&gt;"",Capaian1!BS14,"")</f>
        <v/>
      </c>
      <c r="BQ16" s="255" t="str">
        <f>IF(Capaian1!BT14&lt;&gt;"",Capaian1!BT14,"")</f>
        <v/>
      </c>
      <c r="BR16" s="255" t="str">
        <f>IF(Capaian1!BU14&lt;&gt;"",Capaian1!BU14,"")</f>
        <v/>
      </c>
      <c r="BS16" s="255" t="str">
        <f>IF(Capaian1!BV14&lt;&gt;"",Capaian1!BV14,"")</f>
        <v/>
      </c>
      <c r="BT16" s="255" t="str">
        <f>IF(Capaian1!BW14&lt;&gt;"",Capaian1!BW14,"")</f>
        <v/>
      </c>
      <c r="BU16" s="255" t="str">
        <f>IF(Capaian1!BX14&lt;&gt;"",Capaian1!BX14,"")</f>
        <v/>
      </c>
      <c r="BV16" s="255">
        <f>IF(Capaian1!BM14&lt;&gt;"",Capaian1!BM14,"")</f>
        <v>3.1880000000000002</v>
      </c>
      <c r="BW16" s="255">
        <f>IF(Capaian1!BN14&lt;&gt;"",Capaian1!BN14,"")</f>
        <v>3.3339999999999996</v>
      </c>
      <c r="BX16" s="255" t="str">
        <f>IF(Capaian1!BO14&lt;&gt;"",Capaian1!BO14,"")</f>
        <v>B</v>
      </c>
      <c r="BY16" s="255" t="str">
        <f>IF(Capaian1!BP14&lt;&gt;"",Capaian1!BP14,"")</f>
        <v/>
      </c>
      <c r="BZ16" s="255" t="str">
        <f>IF(Capaian1!BQ14&lt;&gt;"",Capaian1!BQ14,"")</f>
        <v/>
      </c>
      <c r="CA16" s="255" t="str">
        <f>IF(Capaian1!BR14&lt;&gt;"",Capaian1!BR14,"")</f>
        <v/>
      </c>
      <c r="CB16" s="255" t="str">
        <f>IF(Capaian1!BS14&lt;&gt;"",Capaian1!BS14,"")</f>
        <v/>
      </c>
      <c r="CC16" s="255" t="str">
        <f>IF(Capaian1!BT14&lt;&gt;"",Capaian1!BT14,"")</f>
        <v/>
      </c>
      <c r="CD16" s="255" t="str">
        <f>IF(Capaian1!BU14&lt;&gt;"",Capaian1!BU14,"")</f>
        <v/>
      </c>
      <c r="CE16" s="255" t="str">
        <f>IF(Capaian1!BV14&lt;&gt;"",Capaian1!BV14,"")</f>
        <v/>
      </c>
      <c r="CF16" s="255" t="str">
        <f>IF(Capaian1!BW14&lt;&gt;"",Capaian1!BW14,"")</f>
        <v/>
      </c>
      <c r="CG16" s="255" t="str">
        <f>IF(Capaian1!BX14&lt;&gt;"",Capaian1!BX14,"")</f>
        <v/>
      </c>
      <c r="CH16" s="255" t="str">
        <f>IF(Capaian1!BY14&lt;&gt;"",Capaian1!BY14,"")</f>
        <v/>
      </c>
      <c r="CI16" s="255" t="str">
        <f>IF(Capaian1!BZ14&lt;&gt;"",Capaian1!BZ14,"")</f>
        <v/>
      </c>
      <c r="CJ16" s="255" t="str">
        <f>IF(Capaian1!CA14&lt;&gt;"",Capaian1!CA14,"")</f>
        <v/>
      </c>
      <c r="CK16" s="255" t="str">
        <f>IF(Capaian1!CB14&lt;&gt;"",Capaian1!CB14,"")</f>
        <v/>
      </c>
      <c r="CL16" s="255" t="str">
        <f>IF(Capaian1!CC14&lt;&gt;"",Capaian1!CC14,"")</f>
        <v/>
      </c>
      <c r="CM16" s="255" t="str">
        <f>IF(Capaian1!CD14&lt;&gt;"",Capaian1!CD14,"")</f>
        <v/>
      </c>
      <c r="CN16" s="255" t="str">
        <f>IF(Capaian1!CE14&lt;&gt;"",Capaian1!CE14,"")</f>
        <v/>
      </c>
      <c r="CO16" s="255" t="str">
        <f>IF(Capaian1!CF14&lt;&gt;"",Capaian1!CF14,"")</f>
        <v/>
      </c>
      <c r="CP16" s="255" t="str">
        <f>IF(Capaian1!CG14&lt;&gt;"",Capaian1!CG14,"")</f>
        <v/>
      </c>
      <c r="CQ16" s="255">
        <f>IF(Capaian1!CH14&lt;&gt;"",Capaian1!CH14,"")</f>
        <v>3.4533333333333336</v>
      </c>
      <c r="CR16" s="255">
        <f>IF(Capaian1!CI14&lt;&gt;"",Capaian1!CI14,"")</f>
        <v>3.54</v>
      </c>
      <c r="CS16" s="255" t="str">
        <f>IF(Capaian1!CJ14&lt;&gt;"",Capaian1!CJ14,"")</f>
        <v>B</v>
      </c>
      <c r="CT16" s="255" t="str">
        <f>IF(Capaian1!CK14&lt;&gt;"",Capaian1!CK14,"")</f>
        <v/>
      </c>
      <c r="CU16" s="255" t="str">
        <f>IF(Capaian1!CL14&lt;&gt;"",Capaian1!CL14,"")</f>
        <v/>
      </c>
      <c r="CV16" s="255" t="str">
        <f>IF(Capaian1!CM14&lt;&gt;"",Capaian1!CM14,"")</f>
        <v/>
      </c>
      <c r="CW16" s="255" t="str">
        <f>IF(Capaian1!CN14&lt;&gt;"",Capaian1!CN14,"")</f>
        <v>--</v>
      </c>
      <c r="CX16" s="255" t="str">
        <f>IF(Capaian1!CO14&lt;&gt;"",Capaian1!CO14,"")</f>
        <v/>
      </c>
      <c r="CY16" s="255" t="str">
        <f>IF(Capaian1!CP14&lt;&gt;"",Capaian1!CP14,"")</f>
        <v/>
      </c>
      <c r="CZ16" s="255" t="str">
        <f>IF(Capaian1!CQ14&lt;&gt;"",Capaian1!CQ14,"")</f>
        <v/>
      </c>
      <c r="DA16" s="255">
        <f>IF(Capaian1!CR14&lt;&gt;"",Capaian1!CR14,"")</f>
        <v>2</v>
      </c>
      <c r="DB16" s="255">
        <f>IF(Capaian1!CS14&lt;&gt;"",Capaian1!CS14,"")</f>
        <v>1</v>
      </c>
      <c r="DC16" s="255">
        <f>IF(Capaian1!CT14&lt;&gt;"",Capaian1!CT14,"")</f>
        <v>0</v>
      </c>
    </row>
    <row r="17" spans="2:107" s="234" customFormat="1" x14ac:dyDescent="0.25">
      <c r="B17" s="238">
        <v>11</v>
      </c>
      <c r="C17" s="238" t="str">
        <f>Peserta_Didik!D13</f>
        <v>1314.10.117</v>
      </c>
      <c r="D17" s="238" t="str">
        <f>Peserta_Didik!C13</f>
        <v>Erry Nur Azhari</v>
      </c>
      <c r="E17" s="255">
        <f>IF(Capaian1!E15&lt;&gt;"",Capaian1!E15,"")</f>
        <v>3.3759999999999994</v>
      </c>
      <c r="F17" s="255">
        <f>IF(Capaian1!F15&lt;&gt;"",Capaian1!F15,"")</f>
        <v>3.42</v>
      </c>
      <c r="G17" s="255" t="str">
        <f>IF(Capaian1!G15&lt;&gt;"",Capaian1!G15,"")</f>
        <v>B</v>
      </c>
      <c r="H17" s="255">
        <f>IF(Capaian1!H15&lt;&gt;"",Capaian1!H15,"")</f>
        <v>3.3919999999999999</v>
      </c>
      <c r="I17" s="255">
        <f>IF(Capaian1!I15&lt;&gt;"",Capaian1!I15,"")</f>
        <v>3.35</v>
      </c>
      <c r="J17" s="255" t="str">
        <f>IF(Capaian1!J15&lt;&gt;"",Capaian1!J15,"")</f>
        <v>B</v>
      </c>
      <c r="K17" s="255">
        <f>IF(Capaian1!K15&lt;&gt;"",Capaian1!K15,"")</f>
        <v>3.6719999999999997</v>
      </c>
      <c r="L17" s="255">
        <f>IF(Capaian1!L15&lt;&gt;"",Capaian1!L15,"")</f>
        <v>3.2</v>
      </c>
      <c r="M17" s="255" t="str">
        <f>IF(Capaian1!M15&lt;&gt;"",Capaian1!M15,"")</f>
        <v>B</v>
      </c>
      <c r="N17" s="255">
        <f>IF(Capaian1!N15&lt;&gt;"",Capaian1!N15,"")</f>
        <v>2.5344285714285717</v>
      </c>
      <c r="O17" s="255">
        <f>IF(Capaian1!O15&lt;&gt;"",Capaian1!O15,"")</f>
        <v>2.609142857142857</v>
      </c>
      <c r="P17" s="255" t="str">
        <f>IF(Capaian1!P15&lt;&gt;"",Capaian1!P15,"")</f>
        <v>B</v>
      </c>
      <c r="Q17" s="255">
        <f>IF(Capaian1!Q15&lt;&gt;"",Capaian1!Q15,"")</f>
        <v>3.1226666666666665</v>
      </c>
      <c r="R17" s="255">
        <f>IF(Capaian1!R15&lt;&gt;"",Capaian1!R15,"")</f>
        <v>3.1933333333333334</v>
      </c>
      <c r="S17" s="255" t="str">
        <f>IF(Capaian1!S15&lt;&gt;"",Capaian1!S15,"")</f>
        <v>B</v>
      </c>
      <c r="T17" s="255">
        <f>IF(Capaian1!T15&lt;&gt;"",Capaian1!T15,"")</f>
        <v>3.2639999999999998</v>
      </c>
      <c r="U17" s="255">
        <f>IF(Capaian1!U15&lt;&gt;"",Capaian1!U15,"")</f>
        <v>3.2439999999999998</v>
      </c>
      <c r="V17" s="255" t="str">
        <f>IF(Capaian1!V15&lt;&gt;"",Capaian1!V15,"")</f>
        <v>B</v>
      </c>
      <c r="W17" s="255">
        <f>IF(Capaian1!W15&lt;&gt;"",Capaian1!W15,"")</f>
        <v>3.3039999999999998</v>
      </c>
      <c r="X17" s="255">
        <f>IF(Capaian1!X15&lt;&gt;"",Capaian1!X15,"")</f>
        <v>3.2480000000000002</v>
      </c>
      <c r="Y17" s="255" t="str">
        <f>IF(Capaian1!Y15&lt;&gt;"",Capaian1!Y15,"")</f>
        <v>B</v>
      </c>
      <c r="Z17" s="255">
        <f>IF(Capaian1!Z15&lt;&gt;"",Capaian1!Z15,"")</f>
        <v>3.12</v>
      </c>
      <c r="AA17" s="255">
        <f>IF(Capaian1!AA15&lt;&gt;"",Capaian1!AA15,"")</f>
        <v>3.1039999999999996</v>
      </c>
      <c r="AB17" s="255" t="str">
        <f>IF(Capaian1!AB15&lt;&gt;"",Capaian1!AB15,"")</f>
        <v>B</v>
      </c>
      <c r="AC17" s="255">
        <f>IF(Capaian1!AC15&lt;&gt;"",Capaian1!AC15,"")</f>
        <v>3.1839999999999997</v>
      </c>
      <c r="AD17" s="255">
        <f>IF(Capaian1!AD15&lt;&gt;"",Capaian1!AD15,"")</f>
        <v>3.28</v>
      </c>
      <c r="AE17" s="255" t="str">
        <f>IF(Capaian1!AE15&lt;&gt;"",Capaian1!AE15,"")</f>
        <v>SB</v>
      </c>
      <c r="AF17" s="255">
        <f>IF(Capaian1!AF15&lt;&gt;"",Capaian1!AF15,"")</f>
        <v>3.0720000000000001</v>
      </c>
      <c r="AG17" s="255">
        <f>IF(Capaian1!AG15&lt;&gt;"",Capaian1!AG15,"")</f>
        <v>3.1</v>
      </c>
      <c r="AH17" s="255" t="str">
        <f>IF(Capaian1!AH15&lt;&gt;"",Capaian1!AH15,"")</f>
        <v>SB</v>
      </c>
      <c r="AI17" s="255">
        <f>IF(Capaian1!AI15&lt;&gt;"",Capaian1!AI15,"")</f>
        <v>3.1860000000000004</v>
      </c>
      <c r="AJ17" s="255">
        <f>IF(Capaian1!AJ15&lt;&gt;"",Capaian1!AJ15,"")</f>
        <v>3.2</v>
      </c>
      <c r="AK17" s="255" t="str">
        <f>IF(Capaian1!AK15&lt;&gt;"",Capaian1!AK15,"")</f>
        <v>B</v>
      </c>
      <c r="AL17" s="255" t="str">
        <f>IF(Capaian1!AL15&lt;&gt;"",Capaian1!AL15,"")</f>
        <v/>
      </c>
      <c r="AM17" s="255" t="str">
        <f>IF(Capaian1!AM15&lt;&gt;"",Capaian1!AM15,"")</f>
        <v/>
      </c>
      <c r="AN17" s="255" t="str">
        <f>IF(Capaian1!AN15&lt;&gt;"",Capaian1!AN15,"")</f>
        <v/>
      </c>
      <c r="AO17" s="255" t="str">
        <f>IF(Capaian1!AO15&lt;&gt;"",Capaian1!AO15,"")</f>
        <v/>
      </c>
      <c r="AP17" s="255" t="str">
        <f>IF(Capaian1!AP15&lt;&gt;"",Capaian1!AP15,"")</f>
        <v/>
      </c>
      <c r="AQ17" s="255" t="str">
        <f>IF(Capaian1!AQ15&lt;&gt;"",Capaian1!AQ15,"")</f>
        <v/>
      </c>
      <c r="AR17" s="255" t="str">
        <f>IF(Capaian1!AR15&lt;&gt;"",Capaian1!AR15,"")</f>
        <v/>
      </c>
      <c r="AS17" s="255" t="str">
        <f>IF(Capaian1!AS15&lt;&gt;"",Capaian1!AS15,"")</f>
        <v/>
      </c>
      <c r="AT17" s="255" t="str">
        <f>IF(Capaian1!AT15&lt;&gt;"",Capaian1!AT15,"")</f>
        <v/>
      </c>
      <c r="AU17" s="255" t="str">
        <f>IF(Capaian1!AU15&lt;&gt;"",Capaian1!AU15,"")</f>
        <v/>
      </c>
      <c r="AV17" s="255" t="str">
        <f>IF(Capaian1!AV15&lt;&gt;"",Capaian1!AV15,"")</f>
        <v/>
      </c>
      <c r="AW17" s="255" t="str">
        <f>IF(Capaian1!AW15&lt;&gt;"",Capaian1!AW15,"")</f>
        <v/>
      </c>
      <c r="AX17" s="255">
        <f>IF(Capaian1!AX15&lt;&gt;"",Capaian1!AX15,"")</f>
        <v>3.3919999999999999</v>
      </c>
      <c r="AY17" s="255">
        <f>IF(Capaian1!AY15&lt;&gt;"",Capaian1!AY15,"")</f>
        <v>3.35</v>
      </c>
      <c r="AZ17" s="255" t="str">
        <f>IF(Capaian1!AZ15&lt;&gt;"",Capaian1!AZ15,"")</f>
        <v>B</v>
      </c>
      <c r="BA17" s="255">
        <f>IF(Capaian1!BA15&lt;&gt;"",Capaian1!BA15,"")</f>
        <v>3.22</v>
      </c>
      <c r="BB17" s="255">
        <f>IF(Capaian1!BB15&lt;&gt;"",Capaian1!BB15,"")</f>
        <v>3.1839999999999997</v>
      </c>
      <c r="BC17" s="255" t="str">
        <f>IF(Capaian1!BC15&lt;&gt;"",Capaian1!BC15,"")</f>
        <v>B</v>
      </c>
      <c r="BD17" s="255">
        <f>IF(Capaian1!BD15&lt;&gt;"",Capaian1!BD15,"")</f>
        <v>3.202</v>
      </c>
      <c r="BE17" s="255">
        <f>IF(Capaian1!BE15&lt;&gt;"",Capaian1!BE15,"")</f>
        <v>3.3635999999999999</v>
      </c>
      <c r="BF17" s="255" t="str">
        <f>IF(Capaian1!BF15&lt;&gt;"",Capaian1!BF15,"")</f>
        <v>B</v>
      </c>
      <c r="BG17" s="255">
        <f>IF(Capaian1!BG15&lt;&gt;"",Capaian1!BG15,"")</f>
        <v>2.9813333333333332</v>
      </c>
      <c r="BH17" s="255">
        <f>IF(Capaian1!BH15&lt;&gt;"",Capaian1!BH15,"")</f>
        <v>2.9133333333333336</v>
      </c>
      <c r="BI17" s="255" t="str">
        <f>IF(Capaian1!BI15&lt;&gt;"",Capaian1!BI15,"")</f>
        <v>B</v>
      </c>
      <c r="BJ17" s="255">
        <f>IF(Capaian1!BJ15&lt;&gt;"",Capaian1!BJ15,"")</f>
        <v>3</v>
      </c>
      <c r="BK17" s="255">
        <f>IF(Capaian1!BK15&lt;&gt;"",Capaian1!BK15,"")</f>
        <v>3.2</v>
      </c>
      <c r="BL17" s="255" t="str">
        <f>IF(Capaian1!BL15&lt;&gt;"",Capaian1!BL15,"")</f>
        <v>B</v>
      </c>
      <c r="BM17" s="255" t="str">
        <f>IF(Capaian1!BP15&lt;&gt;"",Capaian1!BP15,"")</f>
        <v/>
      </c>
      <c r="BN17" s="255" t="str">
        <f>IF(Capaian1!BQ15&lt;&gt;"",Capaian1!BQ15,"")</f>
        <v/>
      </c>
      <c r="BO17" s="255" t="str">
        <f>IF(Capaian1!BR15&lt;&gt;"",Capaian1!BR15,"")</f>
        <v/>
      </c>
      <c r="BP17" s="255" t="str">
        <f>IF(Capaian1!BS15&lt;&gt;"",Capaian1!BS15,"")</f>
        <v/>
      </c>
      <c r="BQ17" s="255" t="str">
        <f>IF(Capaian1!BT15&lt;&gt;"",Capaian1!BT15,"")</f>
        <v/>
      </c>
      <c r="BR17" s="255" t="str">
        <f>IF(Capaian1!BU15&lt;&gt;"",Capaian1!BU15,"")</f>
        <v/>
      </c>
      <c r="BS17" s="255" t="str">
        <f>IF(Capaian1!BV15&lt;&gt;"",Capaian1!BV15,"")</f>
        <v/>
      </c>
      <c r="BT17" s="255" t="str">
        <f>IF(Capaian1!BW15&lt;&gt;"",Capaian1!BW15,"")</f>
        <v/>
      </c>
      <c r="BU17" s="255" t="str">
        <f>IF(Capaian1!BX15&lt;&gt;"",Capaian1!BX15,"")</f>
        <v/>
      </c>
      <c r="BV17" s="255">
        <f>IF(Capaian1!BM15&lt;&gt;"",Capaian1!BM15,"")</f>
        <v>3.3239999999999998</v>
      </c>
      <c r="BW17" s="255">
        <f>IF(Capaian1!BN15&lt;&gt;"",Capaian1!BN15,"")</f>
        <v>3.3680000000000003</v>
      </c>
      <c r="BX17" s="255" t="str">
        <f>IF(Capaian1!BO15&lt;&gt;"",Capaian1!BO15,"")</f>
        <v>B</v>
      </c>
      <c r="BY17" s="255" t="str">
        <f>IF(Capaian1!BP15&lt;&gt;"",Capaian1!BP15,"")</f>
        <v/>
      </c>
      <c r="BZ17" s="255" t="str">
        <f>IF(Capaian1!BQ15&lt;&gt;"",Capaian1!BQ15,"")</f>
        <v/>
      </c>
      <c r="CA17" s="255" t="str">
        <f>IF(Capaian1!BR15&lt;&gt;"",Capaian1!BR15,"")</f>
        <v/>
      </c>
      <c r="CB17" s="255" t="str">
        <f>IF(Capaian1!BS15&lt;&gt;"",Capaian1!BS15,"")</f>
        <v/>
      </c>
      <c r="CC17" s="255" t="str">
        <f>IF(Capaian1!BT15&lt;&gt;"",Capaian1!BT15,"")</f>
        <v/>
      </c>
      <c r="CD17" s="255" t="str">
        <f>IF(Capaian1!BU15&lt;&gt;"",Capaian1!BU15,"")</f>
        <v/>
      </c>
      <c r="CE17" s="255" t="str">
        <f>IF(Capaian1!BV15&lt;&gt;"",Capaian1!BV15,"")</f>
        <v/>
      </c>
      <c r="CF17" s="255" t="str">
        <f>IF(Capaian1!BW15&lt;&gt;"",Capaian1!BW15,"")</f>
        <v/>
      </c>
      <c r="CG17" s="255" t="str">
        <f>IF(Capaian1!BX15&lt;&gt;"",Capaian1!BX15,"")</f>
        <v/>
      </c>
      <c r="CH17" s="255" t="str">
        <f>IF(Capaian1!BY15&lt;&gt;"",Capaian1!BY15,"")</f>
        <v/>
      </c>
      <c r="CI17" s="255" t="str">
        <f>IF(Capaian1!BZ15&lt;&gt;"",Capaian1!BZ15,"")</f>
        <v/>
      </c>
      <c r="CJ17" s="255" t="str">
        <f>IF(Capaian1!CA15&lt;&gt;"",Capaian1!CA15,"")</f>
        <v/>
      </c>
      <c r="CK17" s="255" t="str">
        <f>IF(Capaian1!CB15&lt;&gt;"",Capaian1!CB15,"")</f>
        <v/>
      </c>
      <c r="CL17" s="255" t="str">
        <f>IF(Capaian1!CC15&lt;&gt;"",Capaian1!CC15,"")</f>
        <v/>
      </c>
      <c r="CM17" s="255" t="str">
        <f>IF(Capaian1!CD15&lt;&gt;"",Capaian1!CD15,"")</f>
        <v/>
      </c>
      <c r="CN17" s="255" t="str">
        <f>IF(Capaian1!CE15&lt;&gt;"",Capaian1!CE15,"")</f>
        <v/>
      </c>
      <c r="CO17" s="255" t="str">
        <f>IF(Capaian1!CF15&lt;&gt;"",Capaian1!CF15,"")</f>
        <v/>
      </c>
      <c r="CP17" s="255" t="str">
        <f>IF(Capaian1!CG15&lt;&gt;"",Capaian1!CG15,"")</f>
        <v/>
      </c>
      <c r="CQ17" s="255">
        <f>IF(Capaian1!CH15&lt;&gt;"",Capaian1!CH15,"")</f>
        <v>3.36</v>
      </c>
      <c r="CR17" s="255">
        <f>IF(Capaian1!CI15&lt;&gt;"",Capaian1!CI15,"")</f>
        <v>3.52</v>
      </c>
      <c r="CS17" s="255" t="str">
        <f>IF(Capaian1!CJ15&lt;&gt;"",Capaian1!CJ15,"")</f>
        <v>B</v>
      </c>
      <c r="CT17" s="255" t="str">
        <f>IF(Capaian1!CK15&lt;&gt;"",Capaian1!CK15,"")</f>
        <v/>
      </c>
      <c r="CU17" s="255" t="str">
        <f>IF(Capaian1!CL15&lt;&gt;"",Capaian1!CL15,"")</f>
        <v/>
      </c>
      <c r="CV17" s="255" t="str">
        <f>IF(Capaian1!CM15&lt;&gt;"",Capaian1!CM15,"")</f>
        <v/>
      </c>
      <c r="CW17" s="255" t="str">
        <f>IF(Capaian1!CN15&lt;&gt;"",Capaian1!CN15,"")</f>
        <v>OSIS</v>
      </c>
      <c r="CX17" s="255" t="str">
        <f>IF(Capaian1!CO15&lt;&gt;"",Capaian1!CO15,"")</f>
        <v>A</v>
      </c>
      <c r="CY17" s="255" t="str">
        <f>IF(Capaian1!CP15&lt;&gt;"",Capaian1!CP15,"")</f>
        <v/>
      </c>
      <c r="CZ17" s="255" t="str">
        <f>IF(Capaian1!CQ15&lt;&gt;"",Capaian1!CQ15,"")</f>
        <v/>
      </c>
      <c r="DA17" s="255">
        <f>IF(Capaian1!CR15&lt;&gt;"",Capaian1!CR15,"")</f>
        <v>0</v>
      </c>
      <c r="DB17" s="255">
        <f>IF(Capaian1!CS15&lt;&gt;"",Capaian1!CS15,"")</f>
        <v>0</v>
      </c>
      <c r="DC17" s="255">
        <f>IF(Capaian1!CT15&lt;&gt;"",Capaian1!CT15,"")</f>
        <v>0</v>
      </c>
    </row>
    <row r="18" spans="2:107" s="234" customFormat="1" x14ac:dyDescent="0.25">
      <c r="B18" s="238">
        <v>12</v>
      </c>
      <c r="C18" s="238" t="str">
        <f>Peserta_Didik!D14</f>
        <v>1314.10.118</v>
      </c>
      <c r="D18" s="238" t="str">
        <f>Peserta_Didik!C14</f>
        <v>Gita Cahya Aulia</v>
      </c>
      <c r="E18" s="255">
        <f>IF(Capaian1!E16&lt;&gt;"",Capaian1!E16,"")</f>
        <v>3.4559999999999995</v>
      </c>
      <c r="F18" s="255">
        <f>IF(Capaian1!F16&lt;&gt;"",Capaian1!F16,"")</f>
        <v>3.54</v>
      </c>
      <c r="G18" s="255" t="str">
        <f>IF(Capaian1!G16&lt;&gt;"",Capaian1!G16,"")</f>
        <v>B</v>
      </c>
      <c r="H18" s="255">
        <f>IF(Capaian1!H16&lt;&gt;"",Capaian1!H16,"")</f>
        <v>3.3120000000000003</v>
      </c>
      <c r="I18" s="255">
        <f>IF(Capaian1!I16&lt;&gt;"",Capaian1!I16,"")</f>
        <v>3.4</v>
      </c>
      <c r="J18" s="255" t="str">
        <f>IF(Capaian1!J16&lt;&gt;"",Capaian1!J16,"")</f>
        <v>B</v>
      </c>
      <c r="K18" s="255">
        <f>IF(Capaian1!K16&lt;&gt;"",Capaian1!K16,"")</f>
        <v>3.6719999999999997</v>
      </c>
      <c r="L18" s="255">
        <f>IF(Capaian1!L16&lt;&gt;"",Capaian1!L16,"")</f>
        <v>3.8</v>
      </c>
      <c r="M18" s="255" t="str">
        <f>IF(Capaian1!M16&lt;&gt;"",Capaian1!M16,"")</f>
        <v>SB</v>
      </c>
      <c r="N18" s="255">
        <f>IF(Capaian1!N16&lt;&gt;"",Capaian1!N16,"")</f>
        <v>2.709714285714286</v>
      </c>
      <c r="O18" s="255">
        <f>IF(Capaian1!O16&lt;&gt;"",Capaian1!O16,"")</f>
        <v>2.7832380952380955</v>
      </c>
      <c r="P18" s="255" t="str">
        <f>IF(Capaian1!P16&lt;&gt;"",Capaian1!P16,"")</f>
        <v>B</v>
      </c>
      <c r="Q18" s="255">
        <f>IF(Capaian1!Q16&lt;&gt;"",Capaian1!Q16,"")</f>
        <v>3.2919999999999998</v>
      </c>
      <c r="R18" s="255">
        <f>IF(Capaian1!R16&lt;&gt;"",Capaian1!R16,"")</f>
        <v>3.186666666666667</v>
      </c>
      <c r="S18" s="255" t="str">
        <f>IF(Capaian1!S16&lt;&gt;"",Capaian1!S16,"")</f>
        <v>B</v>
      </c>
      <c r="T18" s="255">
        <f>IF(Capaian1!T16&lt;&gt;"",Capaian1!T16,"")</f>
        <v>3.2639999999999998</v>
      </c>
      <c r="U18" s="255">
        <f>IF(Capaian1!U16&lt;&gt;"",Capaian1!U16,"")</f>
        <v>3.2439999999999998</v>
      </c>
      <c r="V18" s="255" t="str">
        <f>IF(Capaian1!V16&lt;&gt;"",Capaian1!V16,"")</f>
        <v>SB</v>
      </c>
      <c r="W18" s="255">
        <f>IF(Capaian1!W16&lt;&gt;"",Capaian1!W16,"")</f>
        <v>3.2944000000000004</v>
      </c>
      <c r="X18" s="255">
        <f>IF(Capaian1!X16&lt;&gt;"",Capaian1!X16,"")</f>
        <v>3.2880000000000003</v>
      </c>
      <c r="Y18" s="255" t="str">
        <f>IF(Capaian1!Y16&lt;&gt;"",Capaian1!Y16,"")</f>
        <v>B</v>
      </c>
      <c r="Z18" s="255">
        <f>IF(Capaian1!Z16&lt;&gt;"",Capaian1!Z16,"")</f>
        <v>3.12</v>
      </c>
      <c r="AA18" s="255">
        <f>IF(Capaian1!AA16&lt;&gt;"",Capaian1!AA16,"")</f>
        <v>3.2439999999999998</v>
      </c>
      <c r="AB18" s="255" t="str">
        <f>IF(Capaian1!AB16&lt;&gt;"",Capaian1!AB16,"")</f>
        <v>B</v>
      </c>
      <c r="AC18" s="255">
        <f>IF(Capaian1!AC16&lt;&gt;"",Capaian1!AC16,"")</f>
        <v>3.24</v>
      </c>
      <c r="AD18" s="255">
        <f>IF(Capaian1!AD16&lt;&gt;"",Capaian1!AD16,"")</f>
        <v>3.28</v>
      </c>
      <c r="AE18" s="255" t="str">
        <f>IF(Capaian1!AE16&lt;&gt;"",Capaian1!AE16,"")</f>
        <v>B</v>
      </c>
      <c r="AF18" s="255">
        <f>IF(Capaian1!AF16&lt;&gt;"",Capaian1!AF16,"")</f>
        <v>3.0589999999999997</v>
      </c>
      <c r="AG18" s="255">
        <f>IF(Capaian1!AG16&lt;&gt;"",Capaian1!AG16,"")</f>
        <v>3.13</v>
      </c>
      <c r="AH18" s="255" t="str">
        <f>IF(Capaian1!AH16&lt;&gt;"",Capaian1!AH16,"")</f>
        <v>SB</v>
      </c>
      <c r="AI18" s="255">
        <f>IF(Capaian1!AI16&lt;&gt;"",Capaian1!AI16,"")</f>
        <v>3.1039999999999996</v>
      </c>
      <c r="AJ18" s="255">
        <f>IF(Capaian1!AJ16&lt;&gt;"",Capaian1!AJ16,"")</f>
        <v>3.24</v>
      </c>
      <c r="AK18" s="255" t="str">
        <f>IF(Capaian1!AK16&lt;&gt;"",Capaian1!AK16,"")</f>
        <v>B</v>
      </c>
      <c r="AL18" s="255" t="str">
        <f>IF(Capaian1!AL16&lt;&gt;"",Capaian1!AL16,"")</f>
        <v/>
      </c>
      <c r="AM18" s="255" t="str">
        <f>IF(Capaian1!AM16&lt;&gt;"",Capaian1!AM16,"")</f>
        <v/>
      </c>
      <c r="AN18" s="255" t="str">
        <f>IF(Capaian1!AN16&lt;&gt;"",Capaian1!AN16,"")</f>
        <v/>
      </c>
      <c r="AO18" s="255" t="str">
        <f>IF(Capaian1!AO16&lt;&gt;"",Capaian1!AO16,"")</f>
        <v/>
      </c>
      <c r="AP18" s="255" t="str">
        <f>IF(Capaian1!AP16&lt;&gt;"",Capaian1!AP16,"")</f>
        <v/>
      </c>
      <c r="AQ18" s="255" t="str">
        <f>IF(Capaian1!AQ16&lt;&gt;"",Capaian1!AQ16,"")</f>
        <v/>
      </c>
      <c r="AR18" s="255" t="str">
        <f>IF(Capaian1!AR16&lt;&gt;"",Capaian1!AR16,"")</f>
        <v/>
      </c>
      <c r="AS18" s="255" t="str">
        <f>IF(Capaian1!AS16&lt;&gt;"",Capaian1!AS16,"")</f>
        <v/>
      </c>
      <c r="AT18" s="255" t="str">
        <f>IF(Capaian1!AT16&lt;&gt;"",Capaian1!AT16,"")</f>
        <v/>
      </c>
      <c r="AU18" s="255" t="str">
        <f>IF(Capaian1!AU16&lt;&gt;"",Capaian1!AU16,"")</f>
        <v/>
      </c>
      <c r="AV18" s="255" t="str">
        <f>IF(Capaian1!AV16&lt;&gt;"",Capaian1!AV16,"")</f>
        <v/>
      </c>
      <c r="AW18" s="255" t="str">
        <f>IF(Capaian1!AW16&lt;&gt;"",Capaian1!AW16,"")</f>
        <v/>
      </c>
      <c r="AX18" s="255">
        <f>IF(Capaian1!AX16&lt;&gt;"",Capaian1!AX16,"")</f>
        <v>3.3120000000000003</v>
      </c>
      <c r="AY18" s="255">
        <f>IF(Capaian1!AY16&lt;&gt;"",Capaian1!AY16,"")</f>
        <v>3.4</v>
      </c>
      <c r="AZ18" s="255" t="str">
        <f>IF(Capaian1!AZ16&lt;&gt;"",Capaian1!AZ16,"")</f>
        <v>B</v>
      </c>
      <c r="BA18" s="255">
        <f>IF(Capaian1!BA16&lt;&gt;"",Capaian1!BA16,"")</f>
        <v>3.0780000000000003</v>
      </c>
      <c r="BB18" s="255">
        <f>IF(Capaian1!BB16&lt;&gt;"",Capaian1!BB16,"")</f>
        <v>3.2080000000000002</v>
      </c>
      <c r="BC18" s="255" t="str">
        <f>IF(Capaian1!BC16&lt;&gt;"",Capaian1!BC16,"")</f>
        <v>B</v>
      </c>
      <c r="BD18" s="255">
        <f>IF(Capaian1!BD16&lt;&gt;"",Capaian1!BD16,"")</f>
        <v>3.2480000000000002</v>
      </c>
      <c r="BE18" s="255">
        <f>IF(Capaian1!BE16&lt;&gt;"",Capaian1!BE16,"")</f>
        <v>3.3460000000000001</v>
      </c>
      <c r="BF18" s="255" t="str">
        <f>IF(Capaian1!BF16&lt;&gt;"",Capaian1!BF16,"")</f>
        <v>SB</v>
      </c>
      <c r="BG18" s="255">
        <f>IF(Capaian1!BG16&lt;&gt;"",Capaian1!BG16,"")</f>
        <v>3.0613333333333332</v>
      </c>
      <c r="BH18" s="255">
        <f>IF(Capaian1!BH16&lt;&gt;"",Capaian1!BH16,"")</f>
        <v>2.9133333333333336</v>
      </c>
      <c r="BI18" s="255" t="str">
        <f>IF(Capaian1!BI16&lt;&gt;"",Capaian1!BI16,"")</f>
        <v>B</v>
      </c>
      <c r="BJ18" s="255">
        <f>IF(Capaian1!BJ16&lt;&gt;"",Capaian1!BJ16,"")</f>
        <v>2.84</v>
      </c>
      <c r="BK18" s="255">
        <f>IF(Capaian1!BK16&lt;&gt;"",Capaian1!BK16,"")</f>
        <v>3</v>
      </c>
      <c r="BL18" s="255" t="str">
        <f>IF(Capaian1!BL16&lt;&gt;"",Capaian1!BL16,"")</f>
        <v>B</v>
      </c>
      <c r="BM18" s="255" t="str">
        <f>IF(Capaian1!BP16&lt;&gt;"",Capaian1!BP16,"")</f>
        <v/>
      </c>
      <c r="BN18" s="255" t="str">
        <f>IF(Capaian1!BQ16&lt;&gt;"",Capaian1!BQ16,"")</f>
        <v/>
      </c>
      <c r="BO18" s="255" t="str">
        <f>IF(Capaian1!BR16&lt;&gt;"",Capaian1!BR16,"")</f>
        <v/>
      </c>
      <c r="BP18" s="255" t="str">
        <f>IF(Capaian1!BS16&lt;&gt;"",Capaian1!BS16,"")</f>
        <v/>
      </c>
      <c r="BQ18" s="255" t="str">
        <f>IF(Capaian1!BT16&lt;&gt;"",Capaian1!BT16,"")</f>
        <v/>
      </c>
      <c r="BR18" s="255" t="str">
        <f>IF(Capaian1!BU16&lt;&gt;"",Capaian1!BU16,"")</f>
        <v/>
      </c>
      <c r="BS18" s="255" t="str">
        <f>IF(Capaian1!BV16&lt;&gt;"",Capaian1!BV16,"")</f>
        <v/>
      </c>
      <c r="BT18" s="255" t="str">
        <f>IF(Capaian1!BW16&lt;&gt;"",Capaian1!BW16,"")</f>
        <v/>
      </c>
      <c r="BU18" s="255" t="str">
        <f>IF(Capaian1!BX16&lt;&gt;"",Capaian1!BX16,"")</f>
        <v/>
      </c>
      <c r="BV18" s="255">
        <f>IF(Capaian1!BM16&lt;&gt;"",Capaian1!BM16,"")</f>
        <v>3.1960000000000002</v>
      </c>
      <c r="BW18" s="255">
        <f>IF(Capaian1!BN16&lt;&gt;"",Capaian1!BN16,"")</f>
        <v>3.3280000000000003</v>
      </c>
      <c r="BX18" s="255" t="str">
        <f>IF(Capaian1!BO16&lt;&gt;"",Capaian1!BO16,"")</f>
        <v>SB</v>
      </c>
      <c r="BY18" s="255" t="str">
        <f>IF(Capaian1!BP16&lt;&gt;"",Capaian1!BP16,"")</f>
        <v/>
      </c>
      <c r="BZ18" s="255" t="str">
        <f>IF(Capaian1!BQ16&lt;&gt;"",Capaian1!BQ16,"")</f>
        <v/>
      </c>
      <c r="CA18" s="255" t="str">
        <f>IF(Capaian1!BR16&lt;&gt;"",Capaian1!BR16,"")</f>
        <v/>
      </c>
      <c r="CB18" s="255" t="str">
        <f>IF(Capaian1!BS16&lt;&gt;"",Capaian1!BS16,"")</f>
        <v/>
      </c>
      <c r="CC18" s="255" t="str">
        <f>IF(Capaian1!BT16&lt;&gt;"",Capaian1!BT16,"")</f>
        <v/>
      </c>
      <c r="CD18" s="255" t="str">
        <f>IF(Capaian1!BU16&lt;&gt;"",Capaian1!BU16,"")</f>
        <v/>
      </c>
      <c r="CE18" s="255" t="str">
        <f>IF(Capaian1!BV16&lt;&gt;"",Capaian1!BV16,"")</f>
        <v/>
      </c>
      <c r="CF18" s="255" t="str">
        <f>IF(Capaian1!BW16&lt;&gt;"",Capaian1!BW16,"")</f>
        <v/>
      </c>
      <c r="CG18" s="255" t="str">
        <f>IF(Capaian1!BX16&lt;&gt;"",Capaian1!BX16,"")</f>
        <v/>
      </c>
      <c r="CH18" s="255" t="str">
        <f>IF(Capaian1!BY16&lt;&gt;"",Capaian1!BY16,"")</f>
        <v/>
      </c>
      <c r="CI18" s="255" t="str">
        <f>IF(Capaian1!BZ16&lt;&gt;"",Capaian1!BZ16,"")</f>
        <v/>
      </c>
      <c r="CJ18" s="255" t="str">
        <f>IF(Capaian1!CA16&lt;&gt;"",Capaian1!CA16,"")</f>
        <v/>
      </c>
      <c r="CK18" s="255" t="str">
        <f>IF(Capaian1!CB16&lt;&gt;"",Capaian1!CB16,"")</f>
        <v/>
      </c>
      <c r="CL18" s="255" t="str">
        <f>IF(Capaian1!CC16&lt;&gt;"",Capaian1!CC16,"")</f>
        <v/>
      </c>
      <c r="CM18" s="255" t="str">
        <f>IF(Capaian1!CD16&lt;&gt;"",Capaian1!CD16,"")</f>
        <v/>
      </c>
      <c r="CN18" s="255" t="str">
        <f>IF(Capaian1!CE16&lt;&gt;"",Capaian1!CE16,"")</f>
        <v/>
      </c>
      <c r="CO18" s="255" t="str">
        <f>IF(Capaian1!CF16&lt;&gt;"",Capaian1!CF16,"")</f>
        <v/>
      </c>
      <c r="CP18" s="255" t="str">
        <f>IF(Capaian1!CG16&lt;&gt;"",Capaian1!CG16,"")</f>
        <v/>
      </c>
      <c r="CQ18" s="255">
        <f>IF(Capaian1!CH16&lt;&gt;"",Capaian1!CH16,"")</f>
        <v>3.5</v>
      </c>
      <c r="CR18" s="255">
        <f>IF(Capaian1!CI16&lt;&gt;"",Capaian1!CI16,"")</f>
        <v>3.62</v>
      </c>
      <c r="CS18" s="255" t="str">
        <f>IF(Capaian1!CJ16&lt;&gt;"",Capaian1!CJ16,"")</f>
        <v>B</v>
      </c>
      <c r="CT18" s="255" t="str">
        <f>IF(Capaian1!CK16&lt;&gt;"",Capaian1!CK16,"")</f>
        <v/>
      </c>
      <c r="CU18" s="255" t="str">
        <f>IF(Capaian1!CL16&lt;&gt;"",Capaian1!CL16,"")</f>
        <v/>
      </c>
      <c r="CV18" s="255" t="str">
        <f>IF(Capaian1!CM16&lt;&gt;"",Capaian1!CM16,"")</f>
        <v/>
      </c>
      <c r="CW18" s="255" t="str">
        <f>IF(Capaian1!CN16&lt;&gt;"",Capaian1!CN16,"")</f>
        <v>--</v>
      </c>
      <c r="CX18" s="255" t="str">
        <f>IF(Capaian1!CO16&lt;&gt;"",Capaian1!CO16,"")</f>
        <v/>
      </c>
      <c r="CY18" s="255" t="str">
        <f>IF(Capaian1!CP16&lt;&gt;"",Capaian1!CP16,"")</f>
        <v/>
      </c>
      <c r="CZ18" s="255" t="str">
        <f>IF(Capaian1!CQ16&lt;&gt;"",Capaian1!CQ16,"")</f>
        <v/>
      </c>
      <c r="DA18" s="255">
        <f>IF(Capaian1!CR16&lt;&gt;"",Capaian1!CR16,"")</f>
        <v>3</v>
      </c>
      <c r="DB18" s="255">
        <f>IF(Capaian1!CS16&lt;&gt;"",Capaian1!CS16,"")</f>
        <v>2</v>
      </c>
      <c r="DC18" s="255">
        <f>IF(Capaian1!CT16&lt;&gt;"",Capaian1!CT16,"")</f>
        <v>0</v>
      </c>
    </row>
    <row r="19" spans="2:107" s="234" customFormat="1" x14ac:dyDescent="0.25">
      <c r="B19" s="238">
        <v>13</v>
      </c>
      <c r="C19" s="238" t="str">
        <f>Peserta_Didik!D15</f>
        <v>1314.10.119</v>
      </c>
      <c r="D19" s="238" t="str">
        <f>Peserta_Didik!C15</f>
        <v>Hamim Yusuf</v>
      </c>
      <c r="E19" s="255">
        <f>IF(Capaian1!E17&lt;&gt;"",Capaian1!E17,"")</f>
        <v>3.2639999999999998</v>
      </c>
      <c r="F19" s="255">
        <f>IF(Capaian1!F17&lt;&gt;"",Capaian1!F17,"")</f>
        <v>3.54</v>
      </c>
      <c r="G19" s="255" t="str">
        <f>IF(Capaian1!G17&lt;&gt;"",Capaian1!G17,"")</f>
        <v>B</v>
      </c>
      <c r="H19" s="255">
        <f>IF(Capaian1!H17&lt;&gt;"",Capaian1!H17,"")</f>
        <v>3.1039999999999996</v>
      </c>
      <c r="I19" s="255">
        <f>IF(Capaian1!I17&lt;&gt;"",Capaian1!I17,"")</f>
        <v>3.34</v>
      </c>
      <c r="J19" s="255" t="str">
        <f>IF(Capaian1!J17&lt;&gt;"",Capaian1!J17,"")</f>
        <v>B</v>
      </c>
      <c r="K19" s="255">
        <f>IF(Capaian1!K17&lt;&gt;"",Capaian1!K17,"")</f>
        <v>3.3440000000000003</v>
      </c>
      <c r="L19" s="255">
        <f>IF(Capaian1!L17&lt;&gt;"",Capaian1!L17,"")</f>
        <v>3.2</v>
      </c>
      <c r="M19" s="255" t="str">
        <f>IF(Capaian1!M17&lt;&gt;"",Capaian1!M17,"")</f>
        <v>B</v>
      </c>
      <c r="N19" s="255">
        <f>IF(Capaian1!N17&lt;&gt;"",Capaian1!N17,"")</f>
        <v>2.875</v>
      </c>
      <c r="O19" s="255">
        <f>IF(Capaian1!O17&lt;&gt;"",Capaian1!O17,"")</f>
        <v>2.9706666666666668</v>
      </c>
      <c r="P19" s="255" t="str">
        <f>IF(Capaian1!P17&lt;&gt;"",Capaian1!P17,"")</f>
        <v>B</v>
      </c>
      <c r="Q19" s="255">
        <f>IF(Capaian1!Q17&lt;&gt;"",Capaian1!Q17,"")</f>
        <v>3.0293333333333328</v>
      </c>
      <c r="R19" s="255">
        <f>IF(Capaian1!R17&lt;&gt;"",Capaian1!R17,"")</f>
        <v>3.0866666666666669</v>
      </c>
      <c r="S19" s="255" t="str">
        <f>IF(Capaian1!S17&lt;&gt;"",Capaian1!S17,"")</f>
        <v>B</v>
      </c>
      <c r="T19" s="255">
        <f>IF(Capaian1!T17&lt;&gt;"",Capaian1!T17,"")</f>
        <v>3.2639999999999998</v>
      </c>
      <c r="U19" s="255">
        <f>IF(Capaian1!U17&lt;&gt;"",Capaian1!U17,"")</f>
        <v>3.2439999999999998</v>
      </c>
      <c r="V19" s="255" t="str">
        <f>IF(Capaian1!V17&lt;&gt;"",Capaian1!V17,"")</f>
        <v>B</v>
      </c>
      <c r="W19" s="255">
        <f>IF(Capaian1!W17&lt;&gt;"",Capaian1!W17,"")</f>
        <v>3.2240000000000002</v>
      </c>
      <c r="X19" s="255">
        <f>IF(Capaian1!X17&lt;&gt;"",Capaian1!X17,"")</f>
        <v>3.2360000000000002</v>
      </c>
      <c r="Y19" s="255" t="str">
        <f>IF(Capaian1!Y17&lt;&gt;"",Capaian1!Y17,"")</f>
        <v>B</v>
      </c>
      <c r="Z19" s="255">
        <f>IF(Capaian1!Z17&lt;&gt;"",Capaian1!Z17,"")</f>
        <v>3.52</v>
      </c>
      <c r="AA19" s="255">
        <f>IF(Capaian1!AA17&lt;&gt;"",Capaian1!AA17,"")</f>
        <v>3.0630000000000002</v>
      </c>
      <c r="AB19" s="255" t="str">
        <f>IF(Capaian1!AB17&lt;&gt;"",Capaian1!AB17,"")</f>
        <v>B</v>
      </c>
      <c r="AC19" s="255">
        <f>IF(Capaian1!AC17&lt;&gt;"",Capaian1!AC17,"")</f>
        <v>3.24</v>
      </c>
      <c r="AD19" s="255">
        <f>IF(Capaian1!AD17&lt;&gt;"",Capaian1!AD17,"")</f>
        <v>3.28</v>
      </c>
      <c r="AE19" s="255" t="str">
        <f>IF(Capaian1!AE17&lt;&gt;"",Capaian1!AE17,"")</f>
        <v>B</v>
      </c>
      <c r="AF19" s="255">
        <f>IF(Capaian1!AF17&lt;&gt;"",Capaian1!AF17,"")</f>
        <v>3.012</v>
      </c>
      <c r="AG19" s="255">
        <f>IF(Capaian1!AG17&lt;&gt;"",Capaian1!AG17,"")</f>
        <v>3.07</v>
      </c>
      <c r="AH19" s="255" t="str">
        <f>IF(Capaian1!AH17&lt;&gt;"",Capaian1!AH17,"")</f>
        <v>B</v>
      </c>
      <c r="AI19" s="255">
        <f>IF(Capaian1!AI17&lt;&gt;"",Capaian1!AI17,"")</f>
        <v>3.1460000000000004</v>
      </c>
      <c r="AJ19" s="255">
        <f>IF(Capaian1!AJ17&lt;&gt;"",Capaian1!AJ17,"")</f>
        <v>3.1920000000000006</v>
      </c>
      <c r="AK19" s="255" t="str">
        <f>IF(Capaian1!AK17&lt;&gt;"",Capaian1!AK17,"")</f>
        <v>B</v>
      </c>
      <c r="AL19" s="255" t="str">
        <f>IF(Capaian1!AL17&lt;&gt;"",Capaian1!AL17,"")</f>
        <v/>
      </c>
      <c r="AM19" s="255" t="str">
        <f>IF(Capaian1!AM17&lt;&gt;"",Capaian1!AM17,"")</f>
        <v/>
      </c>
      <c r="AN19" s="255" t="str">
        <f>IF(Capaian1!AN17&lt;&gt;"",Capaian1!AN17,"")</f>
        <v/>
      </c>
      <c r="AO19" s="255" t="str">
        <f>IF(Capaian1!AO17&lt;&gt;"",Capaian1!AO17,"")</f>
        <v/>
      </c>
      <c r="AP19" s="255" t="str">
        <f>IF(Capaian1!AP17&lt;&gt;"",Capaian1!AP17,"")</f>
        <v/>
      </c>
      <c r="AQ19" s="255" t="str">
        <f>IF(Capaian1!AQ17&lt;&gt;"",Capaian1!AQ17,"")</f>
        <v/>
      </c>
      <c r="AR19" s="255" t="str">
        <f>IF(Capaian1!AR17&lt;&gt;"",Capaian1!AR17,"")</f>
        <v/>
      </c>
      <c r="AS19" s="255" t="str">
        <f>IF(Capaian1!AS17&lt;&gt;"",Capaian1!AS17,"")</f>
        <v/>
      </c>
      <c r="AT19" s="255" t="str">
        <f>IF(Capaian1!AT17&lt;&gt;"",Capaian1!AT17,"")</f>
        <v/>
      </c>
      <c r="AU19" s="255" t="str">
        <f>IF(Capaian1!AU17&lt;&gt;"",Capaian1!AU17,"")</f>
        <v/>
      </c>
      <c r="AV19" s="255" t="str">
        <f>IF(Capaian1!AV17&lt;&gt;"",Capaian1!AV17,"")</f>
        <v/>
      </c>
      <c r="AW19" s="255" t="str">
        <f>IF(Capaian1!AW17&lt;&gt;"",Capaian1!AW17,"")</f>
        <v/>
      </c>
      <c r="AX19" s="255">
        <f>IF(Capaian1!AX17&lt;&gt;"",Capaian1!AX17,"")</f>
        <v>3.1039999999999996</v>
      </c>
      <c r="AY19" s="255">
        <f>IF(Capaian1!AY17&lt;&gt;"",Capaian1!AY17,"")</f>
        <v>3.34</v>
      </c>
      <c r="AZ19" s="255" t="str">
        <f>IF(Capaian1!AZ17&lt;&gt;"",Capaian1!AZ17,"")</f>
        <v>B</v>
      </c>
      <c r="BA19" s="255">
        <f>IF(Capaian1!BA17&lt;&gt;"",Capaian1!BA17,"")</f>
        <v>3.1519999999999997</v>
      </c>
      <c r="BB19" s="255">
        <f>IF(Capaian1!BB17&lt;&gt;"",Capaian1!BB17,"")</f>
        <v>3.2080000000000002</v>
      </c>
      <c r="BC19" s="255" t="str">
        <f>IF(Capaian1!BC17&lt;&gt;"",Capaian1!BC17,"")</f>
        <v>B</v>
      </c>
      <c r="BD19" s="255">
        <f>IF(Capaian1!BD17&lt;&gt;"",Capaian1!BD17,"")</f>
        <v>3.0960000000000001</v>
      </c>
      <c r="BE19" s="255">
        <f>IF(Capaian1!BE17&lt;&gt;"",Capaian1!BE17,"")</f>
        <v>3.3024</v>
      </c>
      <c r="BF19" s="255" t="str">
        <f>IF(Capaian1!BF17&lt;&gt;"",Capaian1!BF17,"")</f>
        <v>SB</v>
      </c>
      <c r="BG19" s="255">
        <f>IF(Capaian1!BG17&lt;&gt;"",Capaian1!BG17,"")</f>
        <v>3.0533333333333337</v>
      </c>
      <c r="BH19" s="255">
        <f>IF(Capaian1!BH17&lt;&gt;"",Capaian1!BH17,"")</f>
        <v>3.0333333333333337</v>
      </c>
      <c r="BI19" s="255" t="str">
        <f>IF(Capaian1!BI17&lt;&gt;"",Capaian1!BI17,"")</f>
        <v>B</v>
      </c>
      <c r="BJ19" s="255">
        <f>IF(Capaian1!BJ17&lt;&gt;"",Capaian1!BJ17,"")</f>
        <v>2.92</v>
      </c>
      <c r="BK19" s="255">
        <f>IF(Capaian1!BK17&lt;&gt;"",Capaian1!BK17,"")</f>
        <v>2.95</v>
      </c>
      <c r="BL19" s="255" t="str">
        <f>IF(Capaian1!BL17&lt;&gt;"",Capaian1!BL17,"")</f>
        <v>B</v>
      </c>
      <c r="BM19" s="255" t="str">
        <f>IF(Capaian1!BP17&lt;&gt;"",Capaian1!BP17,"")</f>
        <v/>
      </c>
      <c r="BN19" s="255" t="str">
        <f>IF(Capaian1!BQ17&lt;&gt;"",Capaian1!BQ17,"")</f>
        <v/>
      </c>
      <c r="BO19" s="255" t="str">
        <f>IF(Capaian1!BR17&lt;&gt;"",Capaian1!BR17,"")</f>
        <v/>
      </c>
      <c r="BP19" s="255" t="str">
        <f>IF(Capaian1!BS17&lt;&gt;"",Capaian1!BS17,"")</f>
        <v/>
      </c>
      <c r="BQ19" s="255" t="str">
        <f>IF(Capaian1!BT17&lt;&gt;"",Capaian1!BT17,"")</f>
        <v/>
      </c>
      <c r="BR19" s="255" t="str">
        <f>IF(Capaian1!BU17&lt;&gt;"",Capaian1!BU17,"")</f>
        <v/>
      </c>
      <c r="BS19" s="255" t="str">
        <f>IF(Capaian1!BV17&lt;&gt;"",Capaian1!BV17,"")</f>
        <v/>
      </c>
      <c r="BT19" s="255" t="str">
        <f>IF(Capaian1!BW17&lt;&gt;"",Capaian1!BW17,"")</f>
        <v/>
      </c>
      <c r="BU19" s="255" t="str">
        <f>IF(Capaian1!BX17&lt;&gt;"",Capaian1!BX17,"")</f>
        <v/>
      </c>
      <c r="BV19" s="255">
        <f>IF(Capaian1!BM17&lt;&gt;"",Capaian1!BM17,"")</f>
        <v>3.1960000000000002</v>
      </c>
      <c r="BW19" s="255">
        <f>IF(Capaian1!BN17&lt;&gt;"",Capaian1!BN17,"")</f>
        <v>3.2560000000000002</v>
      </c>
      <c r="BX19" s="255" t="str">
        <f>IF(Capaian1!BO17&lt;&gt;"",Capaian1!BO17,"")</f>
        <v>SB</v>
      </c>
      <c r="BY19" s="255" t="str">
        <f>IF(Capaian1!BP17&lt;&gt;"",Capaian1!BP17,"")</f>
        <v/>
      </c>
      <c r="BZ19" s="255" t="str">
        <f>IF(Capaian1!BQ17&lt;&gt;"",Capaian1!BQ17,"")</f>
        <v/>
      </c>
      <c r="CA19" s="255" t="str">
        <f>IF(Capaian1!BR17&lt;&gt;"",Capaian1!BR17,"")</f>
        <v/>
      </c>
      <c r="CB19" s="255" t="str">
        <f>IF(Capaian1!BS17&lt;&gt;"",Capaian1!BS17,"")</f>
        <v/>
      </c>
      <c r="CC19" s="255" t="str">
        <f>IF(Capaian1!BT17&lt;&gt;"",Capaian1!BT17,"")</f>
        <v/>
      </c>
      <c r="CD19" s="255" t="str">
        <f>IF(Capaian1!BU17&lt;&gt;"",Capaian1!BU17,"")</f>
        <v/>
      </c>
      <c r="CE19" s="255" t="str">
        <f>IF(Capaian1!BV17&lt;&gt;"",Capaian1!BV17,"")</f>
        <v/>
      </c>
      <c r="CF19" s="255" t="str">
        <f>IF(Capaian1!BW17&lt;&gt;"",Capaian1!BW17,"")</f>
        <v/>
      </c>
      <c r="CG19" s="255" t="str">
        <f>IF(Capaian1!BX17&lt;&gt;"",Capaian1!BX17,"")</f>
        <v/>
      </c>
      <c r="CH19" s="255" t="str">
        <f>IF(Capaian1!BY17&lt;&gt;"",Capaian1!BY17,"")</f>
        <v/>
      </c>
      <c r="CI19" s="255" t="str">
        <f>IF(Capaian1!BZ17&lt;&gt;"",Capaian1!BZ17,"")</f>
        <v/>
      </c>
      <c r="CJ19" s="255" t="str">
        <f>IF(Capaian1!CA17&lt;&gt;"",Capaian1!CA17,"")</f>
        <v/>
      </c>
      <c r="CK19" s="255" t="str">
        <f>IF(Capaian1!CB17&lt;&gt;"",Capaian1!CB17,"")</f>
        <v/>
      </c>
      <c r="CL19" s="255" t="str">
        <f>IF(Capaian1!CC17&lt;&gt;"",Capaian1!CC17,"")</f>
        <v/>
      </c>
      <c r="CM19" s="255" t="str">
        <f>IF(Capaian1!CD17&lt;&gt;"",Capaian1!CD17,"")</f>
        <v/>
      </c>
      <c r="CN19" s="255" t="str">
        <f>IF(Capaian1!CE17&lt;&gt;"",Capaian1!CE17,"")</f>
        <v/>
      </c>
      <c r="CO19" s="255" t="str">
        <f>IF(Capaian1!CF17&lt;&gt;"",Capaian1!CF17,"")</f>
        <v/>
      </c>
      <c r="CP19" s="255" t="str">
        <f>IF(Capaian1!CG17&lt;&gt;"",Capaian1!CG17,"")</f>
        <v/>
      </c>
      <c r="CQ19" s="255">
        <f>IF(Capaian1!CH17&lt;&gt;"",Capaian1!CH17,"")</f>
        <v>3.4266666666666663</v>
      </c>
      <c r="CR19" s="255">
        <f>IF(Capaian1!CI17&lt;&gt;"",Capaian1!CI17,"")</f>
        <v>3.54</v>
      </c>
      <c r="CS19" s="255" t="str">
        <f>IF(Capaian1!CJ17&lt;&gt;"",Capaian1!CJ17,"")</f>
        <v>B</v>
      </c>
      <c r="CT19" s="255" t="str">
        <f>IF(Capaian1!CK17&lt;&gt;"",Capaian1!CK17,"")</f>
        <v/>
      </c>
      <c r="CU19" s="255" t="str">
        <f>IF(Capaian1!CL17&lt;&gt;"",Capaian1!CL17,"")</f>
        <v/>
      </c>
      <c r="CV19" s="255" t="str">
        <f>IF(Capaian1!CM17&lt;&gt;"",Capaian1!CM17,"")</f>
        <v/>
      </c>
      <c r="CW19" s="255" t="str">
        <f>IF(Capaian1!CN17&lt;&gt;"",Capaian1!CN17,"")</f>
        <v>--</v>
      </c>
      <c r="CX19" s="255" t="str">
        <f>IF(Capaian1!CO17&lt;&gt;"",Capaian1!CO17,"")</f>
        <v/>
      </c>
      <c r="CY19" s="255" t="str">
        <f>IF(Capaian1!CP17&lt;&gt;"",Capaian1!CP17,"")</f>
        <v/>
      </c>
      <c r="CZ19" s="255" t="str">
        <f>IF(Capaian1!CQ17&lt;&gt;"",Capaian1!CQ17,"")</f>
        <v/>
      </c>
      <c r="DA19" s="255">
        <f>IF(Capaian1!CR17&lt;&gt;"",Capaian1!CR17,"")</f>
        <v>7</v>
      </c>
      <c r="DB19" s="255">
        <f>IF(Capaian1!CS17&lt;&gt;"",Capaian1!CS17,"")</f>
        <v>4</v>
      </c>
      <c r="DC19" s="255">
        <f>IF(Capaian1!CT17&lt;&gt;"",Capaian1!CT17,"")</f>
        <v>1</v>
      </c>
    </row>
    <row r="20" spans="2:107" s="234" customFormat="1" x14ac:dyDescent="0.25">
      <c r="B20" s="238">
        <v>14</v>
      </c>
      <c r="C20" s="238" t="str">
        <f>Peserta_Didik!D16</f>
        <v>1314.10.120</v>
      </c>
      <c r="D20" s="238" t="str">
        <f>Peserta_Didik!C16</f>
        <v>Hamzah Ashari</v>
      </c>
      <c r="E20" s="255">
        <f>IF(Capaian1!E18&lt;&gt;"",Capaian1!E18,"")</f>
        <v>3.3119999999999998</v>
      </c>
      <c r="F20" s="255">
        <f>IF(Capaian1!F18&lt;&gt;"",Capaian1!F18,"")</f>
        <v>3.54</v>
      </c>
      <c r="G20" s="255" t="str">
        <f>IF(Capaian1!G18&lt;&gt;"",Capaian1!G18,"")</f>
        <v>B</v>
      </c>
      <c r="H20" s="255">
        <f>IF(Capaian1!H18&lt;&gt;"",Capaian1!H18,"")</f>
        <v>3.0720000000000005</v>
      </c>
      <c r="I20" s="255">
        <f>IF(Capaian1!I18&lt;&gt;"",Capaian1!I18,"")</f>
        <v>3.4</v>
      </c>
      <c r="J20" s="255" t="str">
        <f>IF(Capaian1!J18&lt;&gt;"",Capaian1!J18,"")</f>
        <v>B</v>
      </c>
      <c r="K20" s="255">
        <f>IF(Capaian1!K18&lt;&gt;"",Capaian1!K18,"")</f>
        <v>3.3439999999999999</v>
      </c>
      <c r="L20" s="255">
        <f>IF(Capaian1!L18&lt;&gt;"",Capaian1!L18,"")</f>
        <v>3.4</v>
      </c>
      <c r="M20" s="255" t="str">
        <f>IF(Capaian1!M18&lt;&gt;"",Capaian1!M18,"")</f>
        <v>B</v>
      </c>
      <c r="N20" s="255">
        <f>IF(Capaian1!N18&lt;&gt;"",Capaian1!N18,"")</f>
        <v>2.6314285714285712</v>
      </c>
      <c r="O20" s="255">
        <f>IF(Capaian1!O18&lt;&gt;"",Capaian1!O18,"")</f>
        <v>2.7344761904761907</v>
      </c>
      <c r="P20" s="255" t="str">
        <f>IF(Capaian1!P18&lt;&gt;"",Capaian1!P18,"")</f>
        <v>B</v>
      </c>
      <c r="Q20" s="255">
        <f>IF(Capaian1!Q18&lt;&gt;"",Capaian1!Q18,"")</f>
        <v>3.293333333333333</v>
      </c>
      <c r="R20" s="255">
        <f>IF(Capaian1!R18&lt;&gt;"",Capaian1!R18,"")</f>
        <v>3.1933333333333334</v>
      </c>
      <c r="S20" s="255" t="str">
        <f>IF(Capaian1!S18&lt;&gt;"",Capaian1!S18,"")</f>
        <v>B</v>
      </c>
      <c r="T20" s="255">
        <f>IF(Capaian1!T18&lt;&gt;"",Capaian1!T18,"")</f>
        <v>3.2639999999999998</v>
      </c>
      <c r="U20" s="255">
        <f>IF(Capaian1!U18&lt;&gt;"",Capaian1!U18,"")</f>
        <v>3.2439999999999998</v>
      </c>
      <c r="V20" s="255" t="str">
        <f>IF(Capaian1!V18&lt;&gt;"",Capaian1!V18,"")</f>
        <v>B</v>
      </c>
      <c r="W20" s="255">
        <f>IF(Capaian1!W18&lt;&gt;"",Capaian1!W18,"")</f>
        <v>3.2080000000000002</v>
      </c>
      <c r="X20" s="255">
        <f>IF(Capaian1!X18&lt;&gt;"",Capaian1!X18,"")</f>
        <v>3.2080000000000002</v>
      </c>
      <c r="Y20" s="255" t="str">
        <f>IF(Capaian1!Y18&lt;&gt;"",Capaian1!Y18,"")</f>
        <v>B</v>
      </c>
      <c r="Z20" s="255">
        <f>IF(Capaian1!Z18&lt;&gt;"",Capaian1!Z18,"")</f>
        <v>3.2</v>
      </c>
      <c r="AA20" s="255">
        <f>IF(Capaian1!AA18&lt;&gt;"",Capaian1!AA18,"")</f>
        <v>3.069</v>
      </c>
      <c r="AB20" s="255" t="str">
        <f>IF(Capaian1!AB18&lt;&gt;"",Capaian1!AB18,"")</f>
        <v>B</v>
      </c>
      <c r="AC20" s="255">
        <f>IF(Capaian1!AC18&lt;&gt;"",Capaian1!AC18,"")</f>
        <v>3.2</v>
      </c>
      <c r="AD20" s="255">
        <f>IF(Capaian1!AD18&lt;&gt;"",Capaian1!AD18,"")</f>
        <v>3.28</v>
      </c>
      <c r="AE20" s="255" t="str">
        <f>IF(Capaian1!AE18&lt;&gt;"",Capaian1!AE18,"")</f>
        <v>B</v>
      </c>
      <c r="AF20" s="255">
        <f>IF(Capaian1!AF18&lt;&gt;"",Capaian1!AF18,"")</f>
        <v>2.87</v>
      </c>
      <c r="AG20" s="255">
        <f>IF(Capaian1!AG18&lt;&gt;"",Capaian1!AG18,"")</f>
        <v>3.05</v>
      </c>
      <c r="AH20" s="255" t="str">
        <f>IF(Capaian1!AH18&lt;&gt;"",Capaian1!AH18,"")</f>
        <v>B</v>
      </c>
      <c r="AI20" s="255">
        <f>IF(Capaian1!AI18&lt;&gt;"",Capaian1!AI18,"")</f>
        <v>3.1787999999999998</v>
      </c>
      <c r="AJ20" s="255">
        <f>IF(Capaian1!AJ18&lt;&gt;"",Capaian1!AJ18,"")</f>
        <v>3.1680000000000001</v>
      </c>
      <c r="AK20" s="255" t="str">
        <f>IF(Capaian1!AK18&lt;&gt;"",Capaian1!AK18,"")</f>
        <v>B</v>
      </c>
      <c r="AL20" s="255" t="str">
        <f>IF(Capaian1!AL18&lt;&gt;"",Capaian1!AL18,"")</f>
        <v/>
      </c>
      <c r="AM20" s="255" t="str">
        <f>IF(Capaian1!AM18&lt;&gt;"",Capaian1!AM18,"")</f>
        <v/>
      </c>
      <c r="AN20" s="255" t="str">
        <f>IF(Capaian1!AN18&lt;&gt;"",Capaian1!AN18,"")</f>
        <v/>
      </c>
      <c r="AO20" s="255" t="str">
        <f>IF(Capaian1!AO18&lt;&gt;"",Capaian1!AO18,"")</f>
        <v/>
      </c>
      <c r="AP20" s="255" t="str">
        <f>IF(Capaian1!AP18&lt;&gt;"",Capaian1!AP18,"")</f>
        <v/>
      </c>
      <c r="AQ20" s="255" t="str">
        <f>IF(Capaian1!AQ18&lt;&gt;"",Capaian1!AQ18,"")</f>
        <v/>
      </c>
      <c r="AR20" s="255" t="str">
        <f>IF(Capaian1!AR18&lt;&gt;"",Capaian1!AR18,"")</f>
        <v/>
      </c>
      <c r="AS20" s="255" t="str">
        <f>IF(Capaian1!AS18&lt;&gt;"",Capaian1!AS18,"")</f>
        <v/>
      </c>
      <c r="AT20" s="255" t="str">
        <f>IF(Capaian1!AT18&lt;&gt;"",Capaian1!AT18,"")</f>
        <v/>
      </c>
      <c r="AU20" s="255" t="str">
        <f>IF(Capaian1!AU18&lt;&gt;"",Capaian1!AU18,"")</f>
        <v/>
      </c>
      <c r="AV20" s="255" t="str">
        <f>IF(Capaian1!AV18&lt;&gt;"",Capaian1!AV18,"")</f>
        <v/>
      </c>
      <c r="AW20" s="255" t="str">
        <f>IF(Capaian1!AW18&lt;&gt;"",Capaian1!AW18,"")</f>
        <v/>
      </c>
      <c r="AX20" s="255">
        <f>IF(Capaian1!AX18&lt;&gt;"",Capaian1!AX18,"")</f>
        <v>3.0720000000000005</v>
      </c>
      <c r="AY20" s="255">
        <f>IF(Capaian1!AY18&lt;&gt;"",Capaian1!AY18,"")</f>
        <v>3.4</v>
      </c>
      <c r="AZ20" s="255" t="str">
        <f>IF(Capaian1!AZ18&lt;&gt;"",Capaian1!AZ18,"")</f>
        <v>B</v>
      </c>
      <c r="BA20" s="255">
        <f>IF(Capaian1!BA18&lt;&gt;"",Capaian1!BA18,"")</f>
        <v>3.08</v>
      </c>
      <c r="BB20" s="255">
        <f>IF(Capaian1!BB18&lt;&gt;"",Capaian1!BB18,"")</f>
        <v>3.2320000000000007</v>
      </c>
      <c r="BC20" s="255" t="str">
        <f>IF(Capaian1!BC18&lt;&gt;"",Capaian1!BC18,"")</f>
        <v>B</v>
      </c>
      <c r="BD20" s="255">
        <f>IF(Capaian1!BD18&lt;&gt;"",Capaian1!BD18,"")</f>
        <v>3.2539999999999996</v>
      </c>
      <c r="BE20" s="255">
        <f>IF(Capaian1!BE18&lt;&gt;"",Capaian1!BE18,"")</f>
        <v>3.2348000000000003</v>
      </c>
      <c r="BF20" s="255" t="str">
        <f>IF(Capaian1!BF18&lt;&gt;"",Capaian1!BF18,"")</f>
        <v>B</v>
      </c>
      <c r="BG20" s="255">
        <f>IF(Capaian1!BG18&lt;&gt;"",Capaian1!BG18,"")</f>
        <v>3.0213333333333332</v>
      </c>
      <c r="BH20" s="255">
        <f>IF(Capaian1!BH18&lt;&gt;"",Capaian1!BH18,"")</f>
        <v>3.2133333333333338</v>
      </c>
      <c r="BI20" s="255" t="str">
        <f>IF(Capaian1!BI18&lt;&gt;"",Capaian1!BI18,"")</f>
        <v>B</v>
      </c>
      <c r="BJ20" s="255">
        <f>IF(Capaian1!BJ18&lt;&gt;"",Capaian1!BJ18,"")</f>
        <v>2.92</v>
      </c>
      <c r="BK20" s="255">
        <f>IF(Capaian1!BK18&lt;&gt;"",Capaian1!BK18,"")</f>
        <v>2.95</v>
      </c>
      <c r="BL20" s="255" t="str">
        <f>IF(Capaian1!BL18&lt;&gt;"",Capaian1!BL18,"")</f>
        <v>B</v>
      </c>
      <c r="BM20" s="255" t="str">
        <f>IF(Capaian1!BP18&lt;&gt;"",Capaian1!BP18,"")</f>
        <v/>
      </c>
      <c r="BN20" s="255" t="str">
        <f>IF(Capaian1!BQ18&lt;&gt;"",Capaian1!BQ18,"")</f>
        <v/>
      </c>
      <c r="BO20" s="255" t="str">
        <f>IF(Capaian1!BR18&lt;&gt;"",Capaian1!BR18,"")</f>
        <v/>
      </c>
      <c r="BP20" s="255" t="str">
        <f>IF(Capaian1!BS18&lt;&gt;"",Capaian1!BS18,"")</f>
        <v/>
      </c>
      <c r="BQ20" s="255" t="str">
        <f>IF(Capaian1!BT18&lt;&gt;"",Capaian1!BT18,"")</f>
        <v/>
      </c>
      <c r="BR20" s="255" t="str">
        <f>IF(Capaian1!BU18&lt;&gt;"",Capaian1!BU18,"")</f>
        <v/>
      </c>
      <c r="BS20" s="255" t="str">
        <f>IF(Capaian1!BV18&lt;&gt;"",Capaian1!BV18,"")</f>
        <v/>
      </c>
      <c r="BT20" s="255" t="str">
        <f>IF(Capaian1!BW18&lt;&gt;"",Capaian1!BW18,"")</f>
        <v/>
      </c>
      <c r="BU20" s="255" t="str">
        <f>IF(Capaian1!BX18&lt;&gt;"",Capaian1!BX18,"")</f>
        <v/>
      </c>
      <c r="BV20" s="255">
        <f>IF(Capaian1!BM18&lt;&gt;"",Capaian1!BM18,"")</f>
        <v>3.1280000000000001</v>
      </c>
      <c r="BW20" s="255">
        <f>IF(Capaian1!BN18&lt;&gt;"",Capaian1!BN18,"")</f>
        <v>3.2680000000000002</v>
      </c>
      <c r="BX20" s="255" t="str">
        <f>IF(Capaian1!BO18&lt;&gt;"",Capaian1!BO18,"")</f>
        <v>B</v>
      </c>
      <c r="BY20" s="255" t="str">
        <f>IF(Capaian1!BP18&lt;&gt;"",Capaian1!BP18,"")</f>
        <v/>
      </c>
      <c r="BZ20" s="255" t="str">
        <f>IF(Capaian1!BQ18&lt;&gt;"",Capaian1!BQ18,"")</f>
        <v/>
      </c>
      <c r="CA20" s="255" t="str">
        <f>IF(Capaian1!BR18&lt;&gt;"",Capaian1!BR18,"")</f>
        <v/>
      </c>
      <c r="CB20" s="255" t="str">
        <f>IF(Capaian1!BS18&lt;&gt;"",Capaian1!BS18,"")</f>
        <v/>
      </c>
      <c r="CC20" s="255" t="str">
        <f>IF(Capaian1!BT18&lt;&gt;"",Capaian1!BT18,"")</f>
        <v/>
      </c>
      <c r="CD20" s="255" t="str">
        <f>IF(Capaian1!BU18&lt;&gt;"",Capaian1!BU18,"")</f>
        <v/>
      </c>
      <c r="CE20" s="255" t="str">
        <f>IF(Capaian1!BV18&lt;&gt;"",Capaian1!BV18,"")</f>
        <v/>
      </c>
      <c r="CF20" s="255" t="str">
        <f>IF(Capaian1!BW18&lt;&gt;"",Capaian1!BW18,"")</f>
        <v/>
      </c>
      <c r="CG20" s="255" t="str">
        <f>IF(Capaian1!BX18&lt;&gt;"",Capaian1!BX18,"")</f>
        <v/>
      </c>
      <c r="CH20" s="255" t="str">
        <f>IF(Capaian1!BY18&lt;&gt;"",Capaian1!BY18,"")</f>
        <v/>
      </c>
      <c r="CI20" s="255" t="str">
        <f>IF(Capaian1!BZ18&lt;&gt;"",Capaian1!BZ18,"")</f>
        <v/>
      </c>
      <c r="CJ20" s="255" t="str">
        <f>IF(Capaian1!CA18&lt;&gt;"",Capaian1!CA18,"")</f>
        <v/>
      </c>
      <c r="CK20" s="255" t="str">
        <f>IF(Capaian1!CB18&lt;&gt;"",Capaian1!CB18,"")</f>
        <v/>
      </c>
      <c r="CL20" s="255" t="str">
        <f>IF(Capaian1!CC18&lt;&gt;"",Capaian1!CC18,"")</f>
        <v/>
      </c>
      <c r="CM20" s="255" t="str">
        <f>IF(Capaian1!CD18&lt;&gt;"",Capaian1!CD18,"")</f>
        <v/>
      </c>
      <c r="CN20" s="255" t="str">
        <f>IF(Capaian1!CE18&lt;&gt;"",Capaian1!CE18,"")</f>
        <v/>
      </c>
      <c r="CO20" s="255" t="str">
        <f>IF(Capaian1!CF18&lt;&gt;"",Capaian1!CF18,"")</f>
        <v/>
      </c>
      <c r="CP20" s="255" t="str">
        <f>IF(Capaian1!CG18&lt;&gt;"",Capaian1!CG18,"")</f>
        <v/>
      </c>
      <c r="CQ20" s="255">
        <f>IF(Capaian1!CH18&lt;&gt;"",Capaian1!CH18,"")</f>
        <v>3.5133333333333336</v>
      </c>
      <c r="CR20" s="255">
        <f>IF(Capaian1!CI18&lt;&gt;"",Capaian1!CI18,"")</f>
        <v>3.54</v>
      </c>
      <c r="CS20" s="255" t="str">
        <f>IF(Capaian1!CJ18&lt;&gt;"",Capaian1!CJ18,"")</f>
        <v>B</v>
      </c>
      <c r="CT20" s="255" t="str">
        <f>IF(Capaian1!CK18&lt;&gt;"",Capaian1!CK18,"")</f>
        <v/>
      </c>
      <c r="CU20" s="255" t="str">
        <f>IF(Capaian1!CL18&lt;&gt;"",Capaian1!CL18,"")</f>
        <v/>
      </c>
      <c r="CV20" s="255" t="str">
        <f>IF(Capaian1!CM18&lt;&gt;"",Capaian1!CM18,"")</f>
        <v/>
      </c>
      <c r="CW20" s="255" t="str">
        <f>IF(Capaian1!CN18&lt;&gt;"",Capaian1!CN18,"")</f>
        <v>--</v>
      </c>
      <c r="CX20" s="255" t="str">
        <f>IF(Capaian1!CO18&lt;&gt;"",Capaian1!CO18,"")</f>
        <v/>
      </c>
      <c r="CY20" s="255" t="str">
        <f>IF(Capaian1!CP18&lt;&gt;"",Capaian1!CP18,"")</f>
        <v>FUTSAL</v>
      </c>
      <c r="CZ20" s="255" t="str">
        <f>IF(Capaian1!CQ18&lt;&gt;"",Capaian1!CQ18,"")</f>
        <v>A</v>
      </c>
      <c r="DA20" s="255">
        <f>IF(Capaian1!CR18&lt;&gt;"",Capaian1!CR18,"")</f>
        <v>5</v>
      </c>
      <c r="DB20" s="255">
        <f>IF(Capaian1!CS18&lt;&gt;"",Capaian1!CS18,"")</f>
        <v>0</v>
      </c>
      <c r="DC20" s="255">
        <f>IF(Capaian1!CT18&lt;&gt;"",Capaian1!CT18,"")</f>
        <v>0</v>
      </c>
    </row>
    <row r="21" spans="2:107" s="234" customFormat="1" x14ac:dyDescent="0.25">
      <c r="B21" s="238">
        <v>15</v>
      </c>
      <c r="C21" s="238" t="str">
        <f>Peserta_Didik!D17</f>
        <v>1314.10.121</v>
      </c>
      <c r="D21" s="238" t="str">
        <f>Peserta_Didik!C17</f>
        <v>Harry Sandi</v>
      </c>
      <c r="E21" s="255">
        <f>IF(Capaian1!E19&lt;&gt;"",Capaian1!E19,"")</f>
        <v>3.76</v>
      </c>
      <c r="F21" s="255">
        <f>IF(Capaian1!F19&lt;&gt;"",Capaian1!F19,"")</f>
        <v>3.6</v>
      </c>
      <c r="G21" s="255" t="str">
        <f>IF(Capaian1!G19&lt;&gt;"",Capaian1!G19,"")</f>
        <v>SB</v>
      </c>
      <c r="H21" s="255">
        <f>IF(Capaian1!H19&lt;&gt;"",Capaian1!H19,"")</f>
        <v>3.4560000000000004</v>
      </c>
      <c r="I21" s="255">
        <f>IF(Capaian1!I19&lt;&gt;"",Capaian1!I19,"")</f>
        <v>3.4</v>
      </c>
      <c r="J21" s="255" t="str">
        <f>IF(Capaian1!J19&lt;&gt;"",Capaian1!J19,"")</f>
        <v>SB</v>
      </c>
      <c r="K21" s="255">
        <f>IF(Capaian1!K19&lt;&gt;"",Capaian1!K19,"")</f>
        <v>3.6719999999999997</v>
      </c>
      <c r="L21" s="255">
        <f>IF(Capaian1!L19&lt;&gt;"",Capaian1!L19,"")</f>
        <v>3.8</v>
      </c>
      <c r="M21" s="255" t="str">
        <f>IF(Capaian1!M19&lt;&gt;"",Capaian1!M19,"")</f>
        <v>SB</v>
      </c>
      <c r="N21" s="255">
        <f>IF(Capaian1!N19&lt;&gt;"",Capaian1!N19,"")</f>
        <v>2.6971428571428571</v>
      </c>
      <c r="O21" s="255">
        <f>IF(Capaian1!O19&lt;&gt;"",Capaian1!O19,"")</f>
        <v>2.8297142857142861</v>
      </c>
      <c r="P21" s="255" t="str">
        <f>IF(Capaian1!P19&lt;&gt;"",Capaian1!P19,"")</f>
        <v>SB</v>
      </c>
      <c r="Q21" s="255">
        <f>IF(Capaian1!Q19&lt;&gt;"",Capaian1!Q19,"")</f>
        <v>3.1933333333333334</v>
      </c>
      <c r="R21" s="255">
        <f>IF(Capaian1!R19&lt;&gt;"",Capaian1!R19,"")</f>
        <v>3.2</v>
      </c>
      <c r="S21" s="255" t="str">
        <f>IF(Capaian1!S19&lt;&gt;"",Capaian1!S19,"")</f>
        <v>B</v>
      </c>
      <c r="T21" s="255">
        <f>IF(Capaian1!T19&lt;&gt;"",Capaian1!T19,"")</f>
        <v>3.2639999999999998</v>
      </c>
      <c r="U21" s="255">
        <f>IF(Capaian1!U19&lt;&gt;"",Capaian1!U19,"")</f>
        <v>3.2439999999999998</v>
      </c>
      <c r="V21" s="255" t="str">
        <f>IF(Capaian1!V19&lt;&gt;"",Capaian1!V19,"")</f>
        <v>SB</v>
      </c>
      <c r="W21" s="255">
        <f>IF(Capaian1!W19&lt;&gt;"",Capaian1!W19,"")</f>
        <v>3.3727999999999998</v>
      </c>
      <c r="X21" s="255">
        <f>IF(Capaian1!X19&lt;&gt;"",Capaian1!X19,"")</f>
        <v>3.3480000000000003</v>
      </c>
      <c r="Y21" s="255" t="str">
        <f>IF(Capaian1!Y19&lt;&gt;"",Capaian1!Y19,"")</f>
        <v>B</v>
      </c>
      <c r="Z21" s="255">
        <f>IF(Capaian1!Z19&lt;&gt;"",Capaian1!Z19,"")</f>
        <v>3.04</v>
      </c>
      <c r="AA21" s="255">
        <f>IF(Capaian1!AA19&lt;&gt;"",Capaian1!AA19,"")</f>
        <v>3.0780000000000003</v>
      </c>
      <c r="AB21" s="255" t="str">
        <f>IF(Capaian1!AB19&lt;&gt;"",Capaian1!AB19,"")</f>
        <v>B</v>
      </c>
      <c r="AC21" s="255">
        <f>IF(Capaian1!AC19&lt;&gt;"",Capaian1!AC19,"")</f>
        <v>3.2319999999999998</v>
      </c>
      <c r="AD21" s="255">
        <f>IF(Capaian1!AD19&lt;&gt;"",Capaian1!AD19,"")</f>
        <v>3.24</v>
      </c>
      <c r="AE21" s="255" t="str">
        <f>IF(Capaian1!AE19&lt;&gt;"",Capaian1!AE19,"")</f>
        <v>B</v>
      </c>
      <c r="AF21" s="255">
        <f>IF(Capaian1!AF19&lt;&gt;"",Capaian1!AF19,"")</f>
        <v>3.0610000000000004</v>
      </c>
      <c r="AG21" s="255">
        <f>IF(Capaian1!AG19&lt;&gt;"",Capaian1!AG19,"")</f>
        <v>3.19</v>
      </c>
      <c r="AH21" s="255" t="str">
        <f>IF(Capaian1!AH19&lt;&gt;"",Capaian1!AH19,"")</f>
        <v>SB</v>
      </c>
      <c r="AI21" s="255">
        <f>IF(Capaian1!AI19&lt;&gt;"",Capaian1!AI19,"")</f>
        <v>3.1546000000000003</v>
      </c>
      <c r="AJ21" s="255">
        <f>IF(Capaian1!AJ19&lt;&gt;"",Capaian1!AJ19,"")</f>
        <v>3.2560000000000002</v>
      </c>
      <c r="AK21" s="255" t="str">
        <f>IF(Capaian1!AK19&lt;&gt;"",Capaian1!AK19,"")</f>
        <v>B</v>
      </c>
      <c r="AL21" s="255" t="str">
        <f>IF(Capaian1!AL19&lt;&gt;"",Capaian1!AL19,"")</f>
        <v/>
      </c>
      <c r="AM21" s="255" t="str">
        <f>IF(Capaian1!AM19&lt;&gt;"",Capaian1!AM19,"")</f>
        <v/>
      </c>
      <c r="AN21" s="255" t="str">
        <f>IF(Capaian1!AN19&lt;&gt;"",Capaian1!AN19,"")</f>
        <v/>
      </c>
      <c r="AO21" s="255" t="str">
        <f>IF(Capaian1!AO19&lt;&gt;"",Capaian1!AO19,"")</f>
        <v/>
      </c>
      <c r="AP21" s="255" t="str">
        <f>IF(Capaian1!AP19&lt;&gt;"",Capaian1!AP19,"")</f>
        <v/>
      </c>
      <c r="AQ21" s="255" t="str">
        <f>IF(Capaian1!AQ19&lt;&gt;"",Capaian1!AQ19,"")</f>
        <v/>
      </c>
      <c r="AR21" s="255" t="str">
        <f>IF(Capaian1!AR19&lt;&gt;"",Capaian1!AR19,"")</f>
        <v/>
      </c>
      <c r="AS21" s="255" t="str">
        <f>IF(Capaian1!AS19&lt;&gt;"",Capaian1!AS19,"")</f>
        <v/>
      </c>
      <c r="AT21" s="255" t="str">
        <f>IF(Capaian1!AT19&lt;&gt;"",Capaian1!AT19,"")</f>
        <v/>
      </c>
      <c r="AU21" s="255" t="str">
        <f>IF(Capaian1!AU19&lt;&gt;"",Capaian1!AU19,"")</f>
        <v/>
      </c>
      <c r="AV21" s="255" t="str">
        <f>IF(Capaian1!AV19&lt;&gt;"",Capaian1!AV19,"")</f>
        <v/>
      </c>
      <c r="AW21" s="255" t="str">
        <f>IF(Capaian1!AW19&lt;&gt;"",Capaian1!AW19,"")</f>
        <v/>
      </c>
      <c r="AX21" s="255">
        <f>IF(Capaian1!AX19&lt;&gt;"",Capaian1!AX19,"")</f>
        <v>3.4560000000000004</v>
      </c>
      <c r="AY21" s="255">
        <f>IF(Capaian1!AY19&lt;&gt;"",Capaian1!AY19,"")</f>
        <v>3.4</v>
      </c>
      <c r="AZ21" s="255" t="str">
        <f>IF(Capaian1!AZ19&lt;&gt;"",Capaian1!AZ19,"")</f>
        <v>SB</v>
      </c>
      <c r="BA21" s="255">
        <f>IF(Capaian1!BA19&lt;&gt;"",Capaian1!BA19,"")</f>
        <v>3.1519999999999997</v>
      </c>
      <c r="BB21" s="255">
        <f>IF(Capaian1!BB19&lt;&gt;"",Capaian1!BB19,"")</f>
        <v>3.24</v>
      </c>
      <c r="BC21" s="255" t="str">
        <f>IF(Capaian1!BC19&lt;&gt;"",Capaian1!BC19,"")</f>
        <v>B</v>
      </c>
      <c r="BD21" s="255">
        <f>IF(Capaian1!BD19&lt;&gt;"",Capaian1!BD19,"")</f>
        <v>3.0920000000000001</v>
      </c>
      <c r="BE21" s="255">
        <f>IF(Capaian1!BE19&lt;&gt;"",Capaian1!BE19,"")</f>
        <v>3.4624000000000001</v>
      </c>
      <c r="BF21" s="255" t="str">
        <f>IF(Capaian1!BF19&lt;&gt;"",Capaian1!BF19,"")</f>
        <v>B</v>
      </c>
      <c r="BG21" s="255">
        <f>IF(Capaian1!BG19&lt;&gt;"",Capaian1!BG19,"")</f>
        <v>3.1893333333333338</v>
      </c>
      <c r="BH21" s="255">
        <f>IF(Capaian1!BH19&lt;&gt;"",Capaian1!BH19,"")</f>
        <v>2.9933333333333336</v>
      </c>
      <c r="BI21" s="255" t="str">
        <f>IF(Capaian1!BI19&lt;&gt;"",Capaian1!BI19,"")</f>
        <v>B</v>
      </c>
      <c r="BJ21" s="255">
        <f>IF(Capaian1!BJ19&lt;&gt;"",Capaian1!BJ19,"")</f>
        <v>3.1919999999999997</v>
      </c>
      <c r="BK21" s="255">
        <f>IF(Capaian1!BK19&lt;&gt;"",Capaian1!BK19,"")</f>
        <v>3.42</v>
      </c>
      <c r="BL21" s="255" t="str">
        <f>IF(Capaian1!BL19&lt;&gt;"",Capaian1!BL19,"")</f>
        <v>B</v>
      </c>
      <c r="BM21" s="255" t="str">
        <f>IF(Capaian1!BP19&lt;&gt;"",Capaian1!BP19,"")</f>
        <v/>
      </c>
      <c r="BN21" s="255" t="str">
        <f>IF(Capaian1!BQ19&lt;&gt;"",Capaian1!BQ19,"")</f>
        <v/>
      </c>
      <c r="BO21" s="255" t="str">
        <f>IF(Capaian1!BR19&lt;&gt;"",Capaian1!BR19,"")</f>
        <v/>
      </c>
      <c r="BP21" s="255" t="str">
        <f>IF(Capaian1!BS19&lt;&gt;"",Capaian1!BS19,"")</f>
        <v/>
      </c>
      <c r="BQ21" s="255" t="str">
        <f>IF(Capaian1!BT19&lt;&gt;"",Capaian1!BT19,"")</f>
        <v/>
      </c>
      <c r="BR21" s="255" t="str">
        <f>IF(Capaian1!BU19&lt;&gt;"",Capaian1!BU19,"")</f>
        <v/>
      </c>
      <c r="BS21" s="255" t="str">
        <f>IF(Capaian1!BV19&lt;&gt;"",Capaian1!BV19,"")</f>
        <v/>
      </c>
      <c r="BT21" s="255" t="str">
        <f>IF(Capaian1!BW19&lt;&gt;"",Capaian1!BW19,"")</f>
        <v/>
      </c>
      <c r="BU21" s="255" t="str">
        <f>IF(Capaian1!BX19&lt;&gt;"",Capaian1!BX19,"")</f>
        <v/>
      </c>
      <c r="BV21" s="255">
        <f>IF(Capaian1!BM19&lt;&gt;"",Capaian1!BM19,"")</f>
        <v>3.3280000000000003</v>
      </c>
      <c r="BW21" s="255">
        <f>IF(Capaian1!BN19&lt;&gt;"",Capaian1!BN19,"")</f>
        <v>3.37</v>
      </c>
      <c r="BX21" s="255" t="str">
        <f>IF(Capaian1!BO19&lt;&gt;"",Capaian1!BO19,"")</f>
        <v>B</v>
      </c>
      <c r="BY21" s="255" t="str">
        <f>IF(Capaian1!BP19&lt;&gt;"",Capaian1!BP19,"")</f>
        <v/>
      </c>
      <c r="BZ21" s="255" t="str">
        <f>IF(Capaian1!BQ19&lt;&gt;"",Capaian1!BQ19,"")</f>
        <v/>
      </c>
      <c r="CA21" s="255" t="str">
        <f>IF(Capaian1!BR19&lt;&gt;"",Capaian1!BR19,"")</f>
        <v/>
      </c>
      <c r="CB21" s="255" t="str">
        <f>IF(Capaian1!BS19&lt;&gt;"",Capaian1!BS19,"")</f>
        <v/>
      </c>
      <c r="CC21" s="255" t="str">
        <f>IF(Capaian1!BT19&lt;&gt;"",Capaian1!BT19,"")</f>
        <v/>
      </c>
      <c r="CD21" s="255" t="str">
        <f>IF(Capaian1!BU19&lt;&gt;"",Capaian1!BU19,"")</f>
        <v/>
      </c>
      <c r="CE21" s="255" t="str">
        <f>IF(Capaian1!BV19&lt;&gt;"",Capaian1!BV19,"")</f>
        <v/>
      </c>
      <c r="CF21" s="255" t="str">
        <f>IF(Capaian1!BW19&lt;&gt;"",Capaian1!BW19,"")</f>
        <v/>
      </c>
      <c r="CG21" s="255" t="str">
        <f>IF(Capaian1!BX19&lt;&gt;"",Capaian1!BX19,"")</f>
        <v/>
      </c>
      <c r="CH21" s="255" t="str">
        <f>IF(Capaian1!BY19&lt;&gt;"",Capaian1!BY19,"")</f>
        <v/>
      </c>
      <c r="CI21" s="255" t="str">
        <f>IF(Capaian1!BZ19&lt;&gt;"",Capaian1!BZ19,"")</f>
        <v/>
      </c>
      <c r="CJ21" s="255" t="str">
        <f>IF(Capaian1!CA19&lt;&gt;"",Capaian1!CA19,"")</f>
        <v/>
      </c>
      <c r="CK21" s="255" t="str">
        <f>IF(Capaian1!CB19&lt;&gt;"",Capaian1!CB19,"")</f>
        <v/>
      </c>
      <c r="CL21" s="255" t="str">
        <f>IF(Capaian1!CC19&lt;&gt;"",Capaian1!CC19,"")</f>
        <v/>
      </c>
      <c r="CM21" s="255" t="str">
        <f>IF(Capaian1!CD19&lt;&gt;"",Capaian1!CD19,"")</f>
        <v/>
      </c>
      <c r="CN21" s="255" t="str">
        <f>IF(Capaian1!CE19&lt;&gt;"",Capaian1!CE19,"")</f>
        <v/>
      </c>
      <c r="CO21" s="255" t="str">
        <f>IF(Capaian1!CF19&lt;&gt;"",Capaian1!CF19,"")</f>
        <v/>
      </c>
      <c r="CP21" s="255" t="str">
        <f>IF(Capaian1!CG19&lt;&gt;"",Capaian1!CG19,"")</f>
        <v/>
      </c>
      <c r="CQ21" s="255">
        <f>IF(Capaian1!CH19&lt;&gt;"",Capaian1!CH19,"")</f>
        <v>3.36</v>
      </c>
      <c r="CR21" s="255">
        <f>IF(Capaian1!CI19&lt;&gt;"",Capaian1!CI19,"")</f>
        <v>3.5</v>
      </c>
      <c r="CS21" s="255" t="str">
        <f>IF(Capaian1!CJ19&lt;&gt;"",Capaian1!CJ19,"")</f>
        <v>B</v>
      </c>
      <c r="CT21" s="255" t="str">
        <f>IF(Capaian1!CK19&lt;&gt;"",Capaian1!CK19,"")</f>
        <v/>
      </c>
      <c r="CU21" s="255" t="str">
        <f>IF(Capaian1!CL19&lt;&gt;"",Capaian1!CL19,"")</f>
        <v/>
      </c>
      <c r="CV21" s="255" t="str">
        <f>IF(Capaian1!CM19&lt;&gt;"",Capaian1!CM19,"")</f>
        <v/>
      </c>
      <c r="CW21" s="255" t="str">
        <f>IF(Capaian1!CN19&lt;&gt;"",Capaian1!CN19,"")</f>
        <v>--</v>
      </c>
      <c r="CX21" s="255" t="str">
        <f>IF(Capaian1!CO19&lt;&gt;"",Capaian1!CO19,"")</f>
        <v/>
      </c>
      <c r="CY21" s="255" t="str">
        <f>IF(Capaian1!CP19&lt;&gt;"",Capaian1!CP19,"")</f>
        <v>DKM</v>
      </c>
      <c r="CZ21" s="255" t="str">
        <f>IF(Capaian1!CQ19&lt;&gt;"",Capaian1!CQ19,"")</f>
        <v>A</v>
      </c>
      <c r="DA21" s="255">
        <f>IF(Capaian1!CR19&lt;&gt;"",Capaian1!CR19,"")</f>
        <v>0</v>
      </c>
      <c r="DB21" s="255">
        <f>IF(Capaian1!CS19&lt;&gt;"",Capaian1!CS19,"")</f>
        <v>0</v>
      </c>
      <c r="DC21" s="255">
        <f>IF(Capaian1!CT19&lt;&gt;"",Capaian1!CT19,"")</f>
        <v>0</v>
      </c>
    </row>
    <row r="22" spans="2:107" s="234" customFormat="1" x14ac:dyDescent="0.25">
      <c r="B22" s="238">
        <v>16</v>
      </c>
      <c r="C22" s="238" t="str">
        <f>Peserta_Didik!D18</f>
        <v>1314.10.122</v>
      </c>
      <c r="D22" s="238" t="str">
        <f>Peserta_Didik!C18</f>
        <v>Hilman Fajri Fahriansyah</v>
      </c>
      <c r="E22" s="255">
        <f>IF(Capaian1!E20&lt;&gt;"",Capaian1!E20,"")</f>
        <v>3.3439999999999999</v>
      </c>
      <c r="F22" s="255">
        <f>IF(Capaian1!F20&lt;&gt;"",Capaian1!F20,"")</f>
        <v>3.5</v>
      </c>
      <c r="G22" s="255" t="str">
        <f>IF(Capaian1!G20&lt;&gt;"",Capaian1!G20,"")</f>
        <v>B</v>
      </c>
      <c r="H22" s="255">
        <f>IF(Capaian1!H20&lt;&gt;"",Capaian1!H20,"")</f>
        <v>3</v>
      </c>
      <c r="I22" s="255">
        <f>IF(Capaian1!I20&lt;&gt;"",Capaian1!I20,"")</f>
        <v>3.35</v>
      </c>
      <c r="J22" s="255" t="str">
        <f>IF(Capaian1!J20&lt;&gt;"",Capaian1!J20,"")</f>
        <v>B</v>
      </c>
      <c r="K22" s="255">
        <f>IF(Capaian1!K20&lt;&gt;"",Capaian1!K20,"")</f>
        <v>3.3440000000000003</v>
      </c>
      <c r="L22" s="255">
        <f>IF(Capaian1!L20&lt;&gt;"",Capaian1!L20,"")</f>
        <v>3.2</v>
      </c>
      <c r="M22" s="255" t="str">
        <f>IF(Capaian1!M20&lt;&gt;"",Capaian1!M20,"")</f>
        <v>B</v>
      </c>
      <c r="N22" s="255">
        <f>IF(Capaian1!N20&lt;&gt;"",Capaian1!N20,"")</f>
        <v>2.8828571428571426</v>
      </c>
      <c r="O22" s="255">
        <f>IF(Capaian1!O20&lt;&gt;"",Capaian1!O20,"")</f>
        <v>3.004952380952381</v>
      </c>
      <c r="P22" s="255" t="str">
        <f>IF(Capaian1!P20&lt;&gt;"",Capaian1!P20,"")</f>
        <v>B</v>
      </c>
      <c r="Q22" s="255">
        <f>IF(Capaian1!Q20&lt;&gt;"",Capaian1!Q20,"")</f>
        <v>3.008</v>
      </c>
      <c r="R22" s="255">
        <f>IF(Capaian1!R20&lt;&gt;"",Capaian1!R20,"")</f>
        <v>3.1</v>
      </c>
      <c r="S22" s="255" t="str">
        <f>IF(Capaian1!S20&lt;&gt;"",Capaian1!S20,"")</f>
        <v>B</v>
      </c>
      <c r="T22" s="255">
        <f>IF(Capaian1!T20&lt;&gt;"",Capaian1!T20,"")</f>
        <v>3.2639999999999998</v>
      </c>
      <c r="U22" s="255">
        <f>IF(Capaian1!U20&lt;&gt;"",Capaian1!U20,"")</f>
        <v>3.2239999999999998</v>
      </c>
      <c r="V22" s="255" t="str">
        <f>IF(Capaian1!V20&lt;&gt;"",Capaian1!V20,"")</f>
        <v>B</v>
      </c>
      <c r="W22" s="255">
        <f>IF(Capaian1!W20&lt;&gt;"",Capaian1!W20,"")</f>
        <v>3.2495999999999996</v>
      </c>
      <c r="X22" s="255">
        <f>IF(Capaian1!X20&lt;&gt;"",Capaian1!X20,"")</f>
        <v>3.2360000000000002</v>
      </c>
      <c r="Y22" s="255" t="str">
        <f>IF(Capaian1!Y20&lt;&gt;"",Capaian1!Y20,"")</f>
        <v>B</v>
      </c>
      <c r="Z22" s="255">
        <f>IF(Capaian1!Z20&lt;&gt;"",Capaian1!Z20,"")</f>
        <v>3.6</v>
      </c>
      <c r="AA22" s="255">
        <f>IF(Capaian1!AA20&lt;&gt;"",Capaian1!AA20,"")</f>
        <v>3.234</v>
      </c>
      <c r="AB22" s="255" t="str">
        <f>IF(Capaian1!AB20&lt;&gt;"",Capaian1!AB20,"")</f>
        <v>B</v>
      </c>
      <c r="AC22" s="255">
        <f>IF(Capaian1!AC20&lt;&gt;"",Capaian1!AC20,"")</f>
        <v>3.1760000000000002</v>
      </c>
      <c r="AD22" s="255">
        <f>IF(Capaian1!AD20&lt;&gt;"",Capaian1!AD20,"")</f>
        <v>3.24</v>
      </c>
      <c r="AE22" s="255" t="str">
        <f>IF(Capaian1!AE20&lt;&gt;"",Capaian1!AE20,"")</f>
        <v>B</v>
      </c>
      <c r="AF22" s="255">
        <f>IF(Capaian1!AF20&lt;&gt;"",Capaian1!AF20,"")</f>
        <v>2.8650000000000002</v>
      </c>
      <c r="AG22" s="255">
        <f>IF(Capaian1!AG20&lt;&gt;"",Capaian1!AG20,"")</f>
        <v>3</v>
      </c>
      <c r="AH22" s="255" t="str">
        <f>IF(Capaian1!AH20&lt;&gt;"",Capaian1!AH20,"")</f>
        <v>B</v>
      </c>
      <c r="AI22" s="255">
        <f>IF(Capaian1!AI20&lt;&gt;"",Capaian1!AI20,"")</f>
        <v>3.0680000000000001</v>
      </c>
      <c r="AJ22" s="255">
        <f>IF(Capaian1!AJ20&lt;&gt;"",Capaian1!AJ20,"")</f>
        <v>3.1520000000000006</v>
      </c>
      <c r="AK22" s="255" t="str">
        <f>IF(Capaian1!AK20&lt;&gt;"",Capaian1!AK20,"")</f>
        <v>B</v>
      </c>
      <c r="AL22" s="255" t="str">
        <f>IF(Capaian1!AL20&lt;&gt;"",Capaian1!AL20,"")</f>
        <v/>
      </c>
      <c r="AM22" s="255" t="str">
        <f>IF(Capaian1!AM20&lt;&gt;"",Capaian1!AM20,"")</f>
        <v/>
      </c>
      <c r="AN22" s="255" t="str">
        <f>IF(Capaian1!AN20&lt;&gt;"",Capaian1!AN20,"")</f>
        <v/>
      </c>
      <c r="AO22" s="255" t="str">
        <f>IF(Capaian1!AO20&lt;&gt;"",Capaian1!AO20,"")</f>
        <v/>
      </c>
      <c r="AP22" s="255" t="str">
        <f>IF(Capaian1!AP20&lt;&gt;"",Capaian1!AP20,"")</f>
        <v/>
      </c>
      <c r="AQ22" s="255" t="str">
        <f>IF(Capaian1!AQ20&lt;&gt;"",Capaian1!AQ20,"")</f>
        <v/>
      </c>
      <c r="AR22" s="255" t="str">
        <f>IF(Capaian1!AR20&lt;&gt;"",Capaian1!AR20,"")</f>
        <v/>
      </c>
      <c r="AS22" s="255" t="str">
        <f>IF(Capaian1!AS20&lt;&gt;"",Capaian1!AS20,"")</f>
        <v/>
      </c>
      <c r="AT22" s="255" t="str">
        <f>IF(Capaian1!AT20&lt;&gt;"",Capaian1!AT20,"")</f>
        <v/>
      </c>
      <c r="AU22" s="255" t="str">
        <f>IF(Capaian1!AU20&lt;&gt;"",Capaian1!AU20,"")</f>
        <v/>
      </c>
      <c r="AV22" s="255" t="str">
        <f>IF(Capaian1!AV20&lt;&gt;"",Capaian1!AV20,"")</f>
        <v/>
      </c>
      <c r="AW22" s="255" t="str">
        <f>IF(Capaian1!AW20&lt;&gt;"",Capaian1!AW20,"")</f>
        <v/>
      </c>
      <c r="AX22" s="255">
        <f>IF(Capaian1!AX20&lt;&gt;"",Capaian1!AX20,"")</f>
        <v>3</v>
      </c>
      <c r="AY22" s="255">
        <f>IF(Capaian1!AY20&lt;&gt;"",Capaian1!AY20,"")</f>
        <v>3.35</v>
      </c>
      <c r="AZ22" s="255" t="str">
        <f>IF(Capaian1!AZ20&lt;&gt;"",Capaian1!AZ20,"")</f>
        <v>B</v>
      </c>
      <c r="BA22" s="255">
        <f>IF(Capaian1!BA20&lt;&gt;"",Capaian1!BA20,"")</f>
        <v>3.0839999999999996</v>
      </c>
      <c r="BB22" s="255">
        <f>IF(Capaian1!BB20&lt;&gt;"",Capaian1!BB20,"")</f>
        <v>3.1839999999999997</v>
      </c>
      <c r="BC22" s="255" t="str">
        <f>IF(Capaian1!BC20&lt;&gt;"",Capaian1!BC20,"")</f>
        <v>B</v>
      </c>
      <c r="BD22" s="255">
        <f>IF(Capaian1!BD20&lt;&gt;"",Capaian1!BD20,"")</f>
        <v>3.1619999999999999</v>
      </c>
      <c r="BE22" s="255">
        <f>IF(Capaian1!BE20&lt;&gt;"",Capaian1!BE20,"")</f>
        <v>3.2636000000000003</v>
      </c>
      <c r="BF22" s="255" t="str">
        <f>IF(Capaian1!BF20&lt;&gt;"",Capaian1!BF20,"")</f>
        <v>B</v>
      </c>
      <c r="BG22" s="255">
        <f>IF(Capaian1!BG20&lt;&gt;"",Capaian1!BG20,"")</f>
        <v>3.0213333333333332</v>
      </c>
      <c r="BH22" s="255">
        <f>IF(Capaian1!BH20&lt;&gt;"",Capaian1!BH20,"")</f>
        <v>2.9133333333333336</v>
      </c>
      <c r="BI22" s="255" t="str">
        <f>IF(Capaian1!BI20&lt;&gt;"",Capaian1!BI20,"")</f>
        <v>B</v>
      </c>
      <c r="BJ22" s="255">
        <f>IF(Capaian1!BJ20&lt;&gt;"",Capaian1!BJ20,"")</f>
        <v>2.92</v>
      </c>
      <c r="BK22" s="255">
        <f>IF(Capaian1!BK20&lt;&gt;"",Capaian1!BK20,"")</f>
        <v>2.95</v>
      </c>
      <c r="BL22" s="255" t="str">
        <f>IF(Capaian1!BL20&lt;&gt;"",Capaian1!BL20,"")</f>
        <v>B</v>
      </c>
      <c r="BM22" s="255" t="str">
        <f>IF(Capaian1!BP20&lt;&gt;"",Capaian1!BP20,"")</f>
        <v/>
      </c>
      <c r="BN22" s="255" t="str">
        <f>IF(Capaian1!BQ20&lt;&gt;"",Capaian1!BQ20,"")</f>
        <v/>
      </c>
      <c r="BO22" s="255" t="str">
        <f>IF(Capaian1!BR20&lt;&gt;"",Capaian1!BR20,"")</f>
        <v/>
      </c>
      <c r="BP22" s="255" t="str">
        <f>IF(Capaian1!BS20&lt;&gt;"",Capaian1!BS20,"")</f>
        <v/>
      </c>
      <c r="BQ22" s="255" t="str">
        <f>IF(Capaian1!BT20&lt;&gt;"",Capaian1!BT20,"")</f>
        <v/>
      </c>
      <c r="BR22" s="255" t="str">
        <f>IF(Capaian1!BU20&lt;&gt;"",Capaian1!BU20,"")</f>
        <v/>
      </c>
      <c r="BS22" s="255" t="str">
        <f>IF(Capaian1!BV20&lt;&gt;"",Capaian1!BV20,"")</f>
        <v/>
      </c>
      <c r="BT22" s="255" t="str">
        <f>IF(Capaian1!BW20&lt;&gt;"",Capaian1!BW20,"")</f>
        <v/>
      </c>
      <c r="BU22" s="255" t="str">
        <f>IF(Capaian1!BX20&lt;&gt;"",Capaian1!BX20,"")</f>
        <v/>
      </c>
      <c r="BV22" s="255">
        <f>IF(Capaian1!BM20&lt;&gt;"",Capaian1!BM20,"")</f>
        <v>3.2080000000000002</v>
      </c>
      <c r="BW22" s="255">
        <f>IF(Capaian1!BN20&lt;&gt;"",Capaian1!BN20,"")</f>
        <v>3.2760000000000002</v>
      </c>
      <c r="BX22" s="255" t="str">
        <f>IF(Capaian1!BO20&lt;&gt;"",Capaian1!BO20,"")</f>
        <v>B</v>
      </c>
      <c r="BY22" s="255" t="str">
        <f>IF(Capaian1!BP20&lt;&gt;"",Capaian1!BP20,"")</f>
        <v/>
      </c>
      <c r="BZ22" s="255" t="str">
        <f>IF(Capaian1!BQ20&lt;&gt;"",Capaian1!BQ20,"")</f>
        <v/>
      </c>
      <c r="CA22" s="255" t="str">
        <f>IF(Capaian1!BR20&lt;&gt;"",Capaian1!BR20,"")</f>
        <v/>
      </c>
      <c r="CB22" s="255" t="str">
        <f>IF(Capaian1!BS20&lt;&gt;"",Capaian1!BS20,"")</f>
        <v/>
      </c>
      <c r="CC22" s="255" t="str">
        <f>IF(Capaian1!BT20&lt;&gt;"",Capaian1!BT20,"")</f>
        <v/>
      </c>
      <c r="CD22" s="255" t="str">
        <f>IF(Capaian1!BU20&lt;&gt;"",Capaian1!BU20,"")</f>
        <v/>
      </c>
      <c r="CE22" s="255" t="str">
        <f>IF(Capaian1!BV20&lt;&gt;"",Capaian1!BV20,"")</f>
        <v/>
      </c>
      <c r="CF22" s="255" t="str">
        <f>IF(Capaian1!BW20&lt;&gt;"",Capaian1!BW20,"")</f>
        <v/>
      </c>
      <c r="CG22" s="255" t="str">
        <f>IF(Capaian1!BX20&lt;&gt;"",Capaian1!BX20,"")</f>
        <v/>
      </c>
      <c r="CH22" s="255" t="str">
        <f>IF(Capaian1!BY20&lt;&gt;"",Capaian1!BY20,"")</f>
        <v/>
      </c>
      <c r="CI22" s="255" t="str">
        <f>IF(Capaian1!BZ20&lt;&gt;"",Capaian1!BZ20,"")</f>
        <v/>
      </c>
      <c r="CJ22" s="255" t="str">
        <f>IF(Capaian1!CA20&lt;&gt;"",Capaian1!CA20,"")</f>
        <v/>
      </c>
      <c r="CK22" s="255" t="str">
        <f>IF(Capaian1!CB20&lt;&gt;"",Capaian1!CB20,"")</f>
        <v/>
      </c>
      <c r="CL22" s="255" t="str">
        <f>IF(Capaian1!CC20&lt;&gt;"",Capaian1!CC20,"")</f>
        <v/>
      </c>
      <c r="CM22" s="255" t="str">
        <f>IF(Capaian1!CD20&lt;&gt;"",Capaian1!CD20,"")</f>
        <v/>
      </c>
      <c r="CN22" s="255" t="str">
        <f>IF(Capaian1!CE20&lt;&gt;"",Capaian1!CE20,"")</f>
        <v/>
      </c>
      <c r="CO22" s="255" t="str">
        <f>IF(Capaian1!CF20&lt;&gt;"",Capaian1!CF20,"")</f>
        <v/>
      </c>
      <c r="CP22" s="255" t="str">
        <f>IF(Capaian1!CG20&lt;&gt;"",Capaian1!CG20,"")</f>
        <v/>
      </c>
      <c r="CQ22" s="255">
        <f>IF(Capaian1!CH20&lt;&gt;"",Capaian1!CH20,"")</f>
        <v>3.5466666666666664</v>
      </c>
      <c r="CR22" s="255">
        <f>IF(Capaian1!CI20&lt;&gt;"",Capaian1!CI20,"")</f>
        <v>3.64</v>
      </c>
      <c r="CS22" s="255" t="str">
        <f>IF(Capaian1!CJ20&lt;&gt;"",Capaian1!CJ20,"")</f>
        <v>B</v>
      </c>
      <c r="CT22" s="255" t="str">
        <f>IF(Capaian1!CK20&lt;&gt;"",Capaian1!CK20,"")</f>
        <v/>
      </c>
      <c r="CU22" s="255" t="str">
        <f>IF(Capaian1!CL20&lt;&gt;"",Capaian1!CL20,"")</f>
        <v/>
      </c>
      <c r="CV22" s="255" t="str">
        <f>IF(Capaian1!CM20&lt;&gt;"",Capaian1!CM20,"")</f>
        <v/>
      </c>
      <c r="CW22" s="255" t="str">
        <f>IF(Capaian1!CN20&lt;&gt;"",Capaian1!CN20,"")</f>
        <v>--</v>
      </c>
      <c r="CX22" s="255" t="str">
        <f>IF(Capaian1!CO20&lt;&gt;"",Capaian1!CO20,"")</f>
        <v/>
      </c>
      <c r="CY22" s="255" t="str">
        <f>IF(Capaian1!CP20&lt;&gt;"",Capaian1!CP20,"")</f>
        <v>--</v>
      </c>
      <c r="CZ22" s="255" t="str">
        <f>IF(Capaian1!CQ20&lt;&gt;"",Capaian1!CQ20,"")</f>
        <v/>
      </c>
      <c r="DA22" s="255">
        <f>IF(Capaian1!CR20&lt;&gt;"",Capaian1!CR20,"")</f>
        <v>1</v>
      </c>
      <c r="DB22" s="255">
        <f>IF(Capaian1!CS20&lt;&gt;"",Capaian1!CS20,"")</f>
        <v>0</v>
      </c>
      <c r="DC22" s="255">
        <f>IF(Capaian1!CT20&lt;&gt;"",Capaian1!CT20,"")</f>
        <v>0</v>
      </c>
    </row>
    <row r="23" spans="2:107" s="234" customFormat="1" x14ac:dyDescent="0.25">
      <c r="B23" s="238">
        <v>17</v>
      </c>
      <c r="C23" s="238" t="str">
        <f>Peserta_Didik!D19</f>
        <v>1314.10.123</v>
      </c>
      <c r="D23" s="238" t="str">
        <f>Peserta_Didik!C19</f>
        <v>Ilham Sidiq</v>
      </c>
      <c r="E23" s="255">
        <f>IF(Capaian1!E21&lt;&gt;"",Capaian1!E21,"")</f>
        <v>3.3280000000000003</v>
      </c>
      <c r="F23" s="255">
        <f>IF(Capaian1!F21&lt;&gt;"",Capaian1!F21,"")</f>
        <v>3.5</v>
      </c>
      <c r="G23" s="255" t="str">
        <f>IF(Capaian1!G21&lt;&gt;"",Capaian1!G21,"")</f>
        <v>B</v>
      </c>
      <c r="H23" s="255">
        <f>IF(Capaian1!H21&lt;&gt;"",Capaian1!H21,"")</f>
        <v>3.16</v>
      </c>
      <c r="I23" s="255">
        <f>IF(Capaian1!I21&lt;&gt;"",Capaian1!I21,"")</f>
        <v>3.38</v>
      </c>
      <c r="J23" s="255" t="str">
        <f>IF(Capaian1!J21&lt;&gt;"",Capaian1!J21,"")</f>
        <v>B</v>
      </c>
      <c r="K23" s="255">
        <f>IF(Capaian1!K21&lt;&gt;"",Capaian1!K21,"")</f>
        <v>3.6719999999999997</v>
      </c>
      <c r="L23" s="255">
        <f>IF(Capaian1!L21&lt;&gt;"",Capaian1!L21,"")</f>
        <v>3.4</v>
      </c>
      <c r="M23" s="255" t="str">
        <f>IF(Capaian1!M21&lt;&gt;"",Capaian1!M21,"")</f>
        <v>B</v>
      </c>
      <c r="N23" s="255">
        <f>IF(Capaian1!N21&lt;&gt;"",Capaian1!N21,"")</f>
        <v>2.6349999999999998</v>
      </c>
      <c r="O23" s="255">
        <f>IF(Capaian1!O21&lt;&gt;"",Capaian1!O21,"")</f>
        <v>2.7040000000000002</v>
      </c>
      <c r="P23" s="255" t="str">
        <f>IF(Capaian1!P21&lt;&gt;"",Capaian1!P21,"")</f>
        <v>B</v>
      </c>
      <c r="Q23" s="255">
        <f>IF(Capaian1!Q21&lt;&gt;"",Capaian1!Q21,"")</f>
        <v>3.056</v>
      </c>
      <c r="R23" s="255">
        <f>IF(Capaian1!R21&lt;&gt;"",Capaian1!R21,"")</f>
        <v>3.0666666666666669</v>
      </c>
      <c r="S23" s="255" t="str">
        <f>IF(Capaian1!S21&lt;&gt;"",Capaian1!S21,"")</f>
        <v>B</v>
      </c>
      <c r="T23" s="255">
        <f>IF(Capaian1!T21&lt;&gt;"",Capaian1!T21,"")</f>
        <v>3.2639999999999998</v>
      </c>
      <c r="U23" s="255">
        <f>IF(Capaian1!U21&lt;&gt;"",Capaian1!U21,"")</f>
        <v>3.2239999999999998</v>
      </c>
      <c r="V23" s="255" t="str">
        <f>IF(Capaian1!V21&lt;&gt;"",Capaian1!V21,"")</f>
        <v>B</v>
      </c>
      <c r="W23" s="255">
        <f>IF(Capaian1!W21&lt;&gt;"",Capaian1!W21,"")</f>
        <v>3.2576000000000001</v>
      </c>
      <c r="X23" s="255">
        <f>IF(Capaian1!X21&lt;&gt;"",Capaian1!X21,"")</f>
        <v>3.2560000000000002</v>
      </c>
      <c r="Y23" s="255" t="str">
        <f>IF(Capaian1!Y21&lt;&gt;"",Capaian1!Y21,"")</f>
        <v>B</v>
      </c>
      <c r="Z23" s="255">
        <f>IF(Capaian1!Z21&lt;&gt;"",Capaian1!Z21,"")</f>
        <v>3.04</v>
      </c>
      <c r="AA23" s="255">
        <f>IF(Capaian1!AA21&lt;&gt;"",Capaian1!AA21,"")</f>
        <v>3</v>
      </c>
      <c r="AB23" s="255" t="str">
        <f>IF(Capaian1!AB21&lt;&gt;"",Capaian1!AB21,"")</f>
        <v>B</v>
      </c>
      <c r="AC23" s="255">
        <f>IF(Capaian1!AC21&lt;&gt;"",Capaian1!AC21,"")</f>
        <v>3.1919999999999997</v>
      </c>
      <c r="AD23" s="255">
        <f>IF(Capaian1!AD21&lt;&gt;"",Capaian1!AD21,"")</f>
        <v>3.24</v>
      </c>
      <c r="AE23" s="255" t="str">
        <f>IF(Capaian1!AE21&lt;&gt;"",Capaian1!AE21,"")</f>
        <v>B</v>
      </c>
      <c r="AF23" s="255">
        <f>IF(Capaian1!AF21&lt;&gt;"",Capaian1!AF21,"")</f>
        <v>2.9510000000000001</v>
      </c>
      <c r="AG23" s="255">
        <f>IF(Capaian1!AG21&lt;&gt;"",Capaian1!AG21,"")</f>
        <v>3.1</v>
      </c>
      <c r="AH23" s="255" t="str">
        <f>IF(Capaian1!AH21&lt;&gt;"",Capaian1!AH21,"")</f>
        <v>B</v>
      </c>
      <c r="AI23" s="255">
        <f>IF(Capaian1!AI21&lt;&gt;"",Capaian1!AI21,"")</f>
        <v>3.08</v>
      </c>
      <c r="AJ23" s="255">
        <f>IF(Capaian1!AJ21&lt;&gt;"",Capaian1!AJ21,"")</f>
        <v>3.1680000000000001</v>
      </c>
      <c r="AK23" s="255" t="str">
        <f>IF(Capaian1!AK21&lt;&gt;"",Capaian1!AK21,"")</f>
        <v>B</v>
      </c>
      <c r="AL23" s="255" t="str">
        <f>IF(Capaian1!AL21&lt;&gt;"",Capaian1!AL21,"")</f>
        <v/>
      </c>
      <c r="AM23" s="255" t="str">
        <f>IF(Capaian1!AM21&lt;&gt;"",Capaian1!AM21,"")</f>
        <v/>
      </c>
      <c r="AN23" s="255" t="str">
        <f>IF(Capaian1!AN21&lt;&gt;"",Capaian1!AN21,"")</f>
        <v/>
      </c>
      <c r="AO23" s="255" t="str">
        <f>IF(Capaian1!AO21&lt;&gt;"",Capaian1!AO21,"")</f>
        <v/>
      </c>
      <c r="AP23" s="255" t="str">
        <f>IF(Capaian1!AP21&lt;&gt;"",Capaian1!AP21,"")</f>
        <v/>
      </c>
      <c r="AQ23" s="255" t="str">
        <f>IF(Capaian1!AQ21&lt;&gt;"",Capaian1!AQ21,"")</f>
        <v/>
      </c>
      <c r="AR23" s="255" t="str">
        <f>IF(Capaian1!AR21&lt;&gt;"",Capaian1!AR21,"")</f>
        <v/>
      </c>
      <c r="AS23" s="255" t="str">
        <f>IF(Capaian1!AS21&lt;&gt;"",Capaian1!AS21,"")</f>
        <v/>
      </c>
      <c r="AT23" s="255" t="str">
        <f>IF(Capaian1!AT21&lt;&gt;"",Capaian1!AT21,"")</f>
        <v/>
      </c>
      <c r="AU23" s="255" t="str">
        <f>IF(Capaian1!AU21&lt;&gt;"",Capaian1!AU21,"")</f>
        <v/>
      </c>
      <c r="AV23" s="255" t="str">
        <f>IF(Capaian1!AV21&lt;&gt;"",Capaian1!AV21,"")</f>
        <v/>
      </c>
      <c r="AW23" s="255" t="str">
        <f>IF(Capaian1!AW21&lt;&gt;"",Capaian1!AW21,"")</f>
        <v/>
      </c>
      <c r="AX23" s="255">
        <f>IF(Capaian1!AX21&lt;&gt;"",Capaian1!AX21,"")</f>
        <v>3.16</v>
      </c>
      <c r="AY23" s="255">
        <f>IF(Capaian1!AY21&lt;&gt;"",Capaian1!AY21,"")</f>
        <v>3.38</v>
      </c>
      <c r="AZ23" s="255" t="str">
        <f>IF(Capaian1!AZ21&lt;&gt;"",Capaian1!AZ21,"")</f>
        <v>B</v>
      </c>
      <c r="BA23" s="255">
        <f>IF(Capaian1!BA21&lt;&gt;"",Capaian1!BA21,"")</f>
        <v>3.06</v>
      </c>
      <c r="BB23" s="255">
        <f>IF(Capaian1!BB21&lt;&gt;"",Capaian1!BB21,"")</f>
        <v>3.2560000000000002</v>
      </c>
      <c r="BC23" s="255" t="str">
        <f>IF(Capaian1!BC21&lt;&gt;"",Capaian1!BC21,"")</f>
        <v>B</v>
      </c>
      <c r="BD23" s="255">
        <f>IF(Capaian1!BD21&lt;&gt;"",Capaian1!BD21,"")</f>
        <v>3.1619999999999999</v>
      </c>
      <c r="BE23" s="255">
        <f>IF(Capaian1!BE21&lt;&gt;"",Capaian1!BE21,"")</f>
        <v>3.2408000000000006</v>
      </c>
      <c r="BF23" s="255" t="str">
        <f>IF(Capaian1!BF21&lt;&gt;"",Capaian1!BF21,"")</f>
        <v>B</v>
      </c>
      <c r="BG23" s="255">
        <f>IF(Capaian1!BG21&lt;&gt;"",Capaian1!BG21,"")</f>
        <v>3.0213333333333332</v>
      </c>
      <c r="BH23" s="255">
        <f>IF(Capaian1!BH21&lt;&gt;"",Capaian1!BH21,"")</f>
        <v>2.9133333333333336</v>
      </c>
      <c r="BI23" s="255" t="str">
        <f>IF(Capaian1!BI21&lt;&gt;"",Capaian1!BI21,"")</f>
        <v>B</v>
      </c>
      <c r="BJ23" s="255">
        <f>IF(Capaian1!BJ21&lt;&gt;"",Capaian1!BJ21,"")</f>
        <v>2.92</v>
      </c>
      <c r="BK23" s="255">
        <f>IF(Capaian1!BK21&lt;&gt;"",Capaian1!BK21,"")</f>
        <v>3.05</v>
      </c>
      <c r="BL23" s="255" t="str">
        <f>IF(Capaian1!BL21&lt;&gt;"",Capaian1!BL21,"")</f>
        <v>B</v>
      </c>
      <c r="BM23" s="255" t="str">
        <f>IF(Capaian1!BP21&lt;&gt;"",Capaian1!BP21,"")</f>
        <v/>
      </c>
      <c r="BN23" s="255" t="str">
        <f>IF(Capaian1!BQ21&lt;&gt;"",Capaian1!BQ21,"")</f>
        <v/>
      </c>
      <c r="BO23" s="255" t="str">
        <f>IF(Capaian1!BR21&lt;&gt;"",Capaian1!BR21,"")</f>
        <v/>
      </c>
      <c r="BP23" s="255" t="str">
        <f>IF(Capaian1!BS21&lt;&gt;"",Capaian1!BS21,"")</f>
        <v/>
      </c>
      <c r="BQ23" s="255" t="str">
        <f>IF(Capaian1!BT21&lt;&gt;"",Capaian1!BT21,"")</f>
        <v/>
      </c>
      <c r="BR23" s="255" t="str">
        <f>IF(Capaian1!BU21&lt;&gt;"",Capaian1!BU21,"")</f>
        <v/>
      </c>
      <c r="BS23" s="255" t="str">
        <f>IF(Capaian1!BV21&lt;&gt;"",Capaian1!BV21,"")</f>
        <v/>
      </c>
      <c r="BT23" s="255" t="str">
        <f>IF(Capaian1!BW21&lt;&gt;"",Capaian1!BW21,"")</f>
        <v/>
      </c>
      <c r="BU23" s="255" t="str">
        <f>IF(Capaian1!BX21&lt;&gt;"",Capaian1!BX21,"")</f>
        <v/>
      </c>
      <c r="BV23" s="255">
        <f>IF(Capaian1!BM21&lt;&gt;"",Capaian1!BM21,"")</f>
        <v>3.1280000000000001</v>
      </c>
      <c r="BW23" s="255">
        <f>IF(Capaian1!BN21&lt;&gt;"",Capaian1!BN21,"")</f>
        <v>3.26</v>
      </c>
      <c r="BX23" s="255" t="str">
        <f>IF(Capaian1!BO21&lt;&gt;"",Capaian1!BO21,"")</f>
        <v>B</v>
      </c>
      <c r="BY23" s="255" t="str">
        <f>IF(Capaian1!BP21&lt;&gt;"",Capaian1!BP21,"")</f>
        <v/>
      </c>
      <c r="BZ23" s="255" t="str">
        <f>IF(Capaian1!BQ21&lt;&gt;"",Capaian1!BQ21,"")</f>
        <v/>
      </c>
      <c r="CA23" s="255" t="str">
        <f>IF(Capaian1!BR21&lt;&gt;"",Capaian1!BR21,"")</f>
        <v/>
      </c>
      <c r="CB23" s="255" t="str">
        <f>IF(Capaian1!BS21&lt;&gt;"",Capaian1!BS21,"")</f>
        <v/>
      </c>
      <c r="CC23" s="255" t="str">
        <f>IF(Capaian1!BT21&lt;&gt;"",Capaian1!BT21,"")</f>
        <v/>
      </c>
      <c r="CD23" s="255" t="str">
        <f>IF(Capaian1!BU21&lt;&gt;"",Capaian1!BU21,"")</f>
        <v/>
      </c>
      <c r="CE23" s="255" t="str">
        <f>IF(Capaian1!BV21&lt;&gt;"",Capaian1!BV21,"")</f>
        <v/>
      </c>
      <c r="CF23" s="255" t="str">
        <f>IF(Capaian1!BW21&lt;&gt;"",Capaian1!BW21,"")</f>
        <v/>
      </c>
      <c r="CG23" s="255" t="str">
        <f>IF(Capaian1!BX21&lt;&gt;"",Capaian1!BX21,"")</f>
        <v/>
      </c>
      <c r="CH23" s="255" t="str">
        <f>IF(Capaian1!BY21&lt;&gt;"",Capaian1!BY21,"")</f>
        <v/>
      </c>
      <c r="CI23" s="255" t="str">
        <f>IF(Capaian1!BZ21&lt;&gt;"",Capaian1!BZ21,"")</f>
        <v/>
      </c>
      <c r="CJ23" s="255" t="str">
        <f>IF(Capaian1!CA21&lt;&gt;"",Capaian1!CA21,"")</f>
        <v/>
      </c>
      <c r="CK23" s="255" t="str">
        <f>IF(Capaian1!CB21&lt;&gt;"",Capaian1!CB21,"")</f>
        <v/>
      </c>
      <c r="CL23" s="255" t="str">
        <f>IF(Capaian1!CC21&lt;&gt;"",Capaian1!CC21,"")</f>
        <v/>
      </c>
      <c r="CM23" s="255" t="str">
        <f>IF(Capaian1!CD21&lt;&gt;"",Capaian1!CD21,"")</f>
        <v/>
      </c>
      <c r="CN23" s="255" t="str">
        <f>IF(Capaian1!CE21&lt;&gt;"",Capaian1!CE21,"")</f>
        <v/>
      </c>
      <c r="CO23" s="255" t="str">
        <f>IF(Capaian1!CF21&lt;&gt;"",Capaian1!CF21,"")</f>
        <v/>
      </c>
      <c r="CP23" s="255" t="str">
        <f>IF(Capaian1!CG21&lt;&gt;"",Capaian1!CG21,"")</f>
        <v/>
      </c>
      <c r="CQ23" s="255">
        <f>IF(Capaian1!CH21&lt;&gt;"",Capaian1!CH21,"")</f>
        <v>3.5066666666666664</v>
      </c>
      <c r="CR23" s="255">
        <f>IF(Capaian1!CI21&lt;&gt;"",Capaian1!CI21,"")</f>
        <v>3.54</v>
      </c>
      <c r="CS23" s="255" t="str">
        <f>IF(Capaian1!CJ21&lt;&gt;"",Capaian1!CJ21,"")</f>
        <v>B</v>
      </c>
      <c r="CT23" s="255" t="str">
        <f>IF(Capaian1!CK21&lt;&gt;"",Capaian1!CK21,"")</f>
        <v/>
      </c>
      <c r="CU23" s="255" t="str">
        <f>IF(Capaian1!CL21&lt;&gt;"",Capaian1!CL21,"")</f>
        <v/>
      </c>
      <c r="CV23" s="255" t="str">
        <f>IF(Capaian1!CM21&lt;&gt;"",Capaian1!CM21,"")</f>
        <v/>
      </c>
      <c r="CW23" s="255" t="str">
        <f>IF(Capaian1!CN21&lt;&gt;"",Capaian1!CN21,"")</f>
        <v>OSIS</v>
      </c>
      <c r="CX23" s="255" t="str">
        <f>IF(Capaian1!CO21&lt;&gt;"",Capaian1!CO21,"")</f>
        <v>B</v>
      </c>
      <c r="CY23" s="255" t="str">
        <f>IF(Capaian1!CP21&lt;&gt;"",Capaian1!CP21,"")</f>
        <v>--</v>
      </c>
      <c r="CZ23" s="255" t="str">
        <f>IF(Capaian1!CQ21&lt;&gt;"",Capaian1!CQ21,"")</f>
        <v/>
      </c>
      <c r="DA23" s="255">
        <f>IF(Capaian1!CR21&lt;&gt;"",Capaian1!CR21,"")</f>
        <v>0</v>
      </c>
      <c r="DB23" s="255">
        <f>IF(Capaian1!CS21&lt;&gt;"",Capaian1!CS21,"")</f>
        <v>0</v>
      </c>
      <c r="DC23" s="255">
        <f>IF(Capaian1!CT21&lt;&gt;"",Capaian1!CT21,"")</f>
        <v>0</v>
      </c>
    </row>
    <row r="24" spans="2:107" s="234" customFormat="1" x14ac:dyDescent="0.25">
      <c r="B24" s="238">
        <v>18</v>
      </c>
      <c r="C24" s="238" t="str">
        <f>Peserta_Didik!D20</f>
        <v>1314.10.124</v>
      </c>
      <c r="D24" s="238" t="str">
        <f>Peserta_Didik!C20</f>
        <v>Irfan Ahmad Fadhil</v>
      </c>
      <c r="E24" s="255">
        <f>IF(Capaian1!E22&lt;&gt;"",Capaian1!E22,"")</f>
        <v>3.2959999999999998</v>
      </c>
      <c r="F24" s="255">
        <f>IF(Capaian1!F22&lt;&gt;"",Capaian1!F22,"")</f>
        <v>3.46</v>
      </c>
      <c r="G24" s="255" t="str">
        <f>IF(Capaian1!G22&lt;&gt;"",Capaian1!G22,"")</f>
        <v>B</v>
      </c>
      <c r="H24" s="255">
        <f>IF(Capaian1!H22&lt;&gt;"",Capaian1!H22,"")</f>
        <v>3.016</v>
      </c>
      <c r="I24" s="255">
        <f>IF(Capaian1!I22&lt;&gt;"",Capaian1!I22,"")</f>
        <v>3.19</v>
      </c>
      <c r="J24" s="255" t="str">
        <f>IF(Capaian1!J22&lt;&gt;"",Capaian1!J22,"")</f>
        <v>B</v>
      </c>
      <c r="K24" s="255">
        <f>IF(Capaian1!K22&lt;&gt;"",Capaian1!K22,"")</f>
        <v>3.6720000000000006</v>
      </c>
      <c r="L24" s="255">
        <f>IF(Capaian1!L22&lt;&gt;"",Capaian1!L22,"")</f>
        <v>3.2</v>
      </c>
      <c r="M24" s="255" t="str">
        <f>IF(Capaian1!M22&lt;&gt;"",Capaian1!M22,"")</f>
        <v>B</v>
      </c>
      <c r="N24" s="255">
        <f>IF(Capaian1!N22&lt;&gt;"",Capaian1!N22,"")</f>
        <v>2.6342857142857143</v>
      </c>
      <c r="O24" s="255">
        <f>IF(Capaian1!O22&lt;&gt;"",Capaian1!O22,"")</f>
        <v>2.7154285714285713</v>
      </c>
      <c r="P24" s="255" t="str">
        <f>IF(Capaian1!P22&lt;&gt;"",Capaian1!P22,"")</f>
        <v>B</v>
      </c>
      <c r="Q24" s="255">
        <f>IF(Capaian1!Q22&lt;&gt;"",Capaian1!Q22,"")</f>
        <v>3.1959999999999997</v>
      </c>
      <c r="R24" s="255">
        <f>IF(Capaian1!R22&lt;&gt;"",Capaian1!R22,"")</f>
        <v>3.1</v>
      </c>
      <c r="S24" s="255" t="str">
        <f>IF(Capaian1!S22&lt;&gt;"",Capaian1!S22,"")</f>
        <v>B</v>
      </c>
      <c r="T24" s="255">
        <f>IF(Capaian1!T22&lt;&gt;"",Capaian1!T22,"")</f>
        <v>3.2639999999999998</v>
      </c>
      <c r="U24" s="255">
        <f>IF(Capaian1!U22&lt;&gt;"",Capaian1!U22,"")</f>
        <v>3.2239999999999998</v>
      </c>
      <c r="V24" s="255" t="str">
        <f>IF(Capaian1!V22&lt;&gt;"",Capaian1!V22,"")</f>
        <v>B</v>
      </c>
      <c r="W24" s="255">
        <f>IF(Capaian1!W22&lt;&gt;"",Capaian1!W22,"")</f>
        <v>3.2672000000000003</v>
      </c>
      <c r="X24" s="255">
        <f>IF(Capaian1!X22&lt;&gt;"",Capaian1!X22,"")</f>
        <v>3.24</v>
      </c>
      <c r="Y24" s="255" t="str">
        <f>IF(Capaian1!Y22&lt;&gt;"",Capaian1!Y22,"")</f>
        <v>B</v>
      </c>
      <c r="Z24" s="255">
        <f>IF(Capaian1!Z22&lt;&gt;"",Capaian1!Z22,"")</f>
        <v>3.04</v>
      </c>
      <c r="AA24" s="255">
        <f>IF(Capaian1!AA22&lt;&gt;"",Capaian1!AA22,"")</f>
        <v>3.4339999999999997</v>
      </c>
      <c r="AB24" s="255" t="str">
        <f>IF(Capaian1!AB22&lt;&gt;"",Capaian1!AB22,"")</f>
        <v>B</v>
      </c>
      <c r="AC24" s="255">
        <f>IF(Capaian1!AC22&lt;&gt;"",Capaian1!AC22,"")</f>
        <v>3.2</v>
      </c>
      <c r="AD24" s="255">
        <f>IF(Capaian1!AD22&lt;&gt;"",Capaian1!AD22,"")</f>
        <v>3.28</v>
      </c>
      <c r="AE24" s="255" t="str">
        <f>IF(Capaian1!AE22&lt;&gt;"",Capaian1!AE22,"")</f>
        <v>B</v>
      </c>
      <c r="AF24" s="255">
        <f>IF(Capaian1!AF22&lt;&gt;"",Capaian1!AF22,"")</f>
        <v>3.0129999999999999</v>
      </c>
      <c r="AG24" s="255">
        <f>IF(Capaian1!AG22&lt;&gt;"",Capaian1!AG22,"")</f>
        <v>3.21</v>
      </c>
      <c r="AH24" s="255" t="str">
        <f>IF(Capaian1!AH22&lt;&gt;"",Capaian1!AH22,"")</f>
        <v>SB</v>
      </c>
      <c r="AI24" s="255">
        <f>IF(Capaian1!AI22&lt;&gt;"",Capaian1!AI22,"")</f>
        <v>3.0760000000000001</v>
      </c>
      <c r="AJ24" s="255">
        <f>IF(Capaian1!AJ22&lt;&gt;"",Capaian1!AJ22,"")</f>
        <v>3.0960000000000001</v>
      </c>
      <c r="AK24" s="255" t="str">
        <f>IF(Capaian1!AK22&lt;&gt;"",Capaian1!AK22,"")</f>
        <v>B</v>
      </c>
      <c r="AL24" s="255" t="str">
        <f>IF(Capaian1!AL22&lt;&gt;"",Capaian1!AL22,"")</f>
        <v/>
      </c>
      <c r="AM24" s="255" t="str">
        <f>IF(Capaian1!AM22&lt;&gt;"",Capaian1!AM22,"")</f>
        <v/>
      </c>
      <c r="AN24" s="255" t="str">
        <f>IF(Capaian1!AN22&lt;&gt;"",Capaian1!AN22,"")</f>
        <v/>
      </c>
      <c r="AO24" s="255" t="str">
        <f>IF(Capaian1!AO22&lt;&gt;"",Capaian1!AO22,"")</f>
        <v/>
      </c>
      <c r="AP24" s="255" t="str">
        <f>IF(Capaian1!AP22&lt;&gt;"",Capaian1!AP22,"")</f>
        <v/>
      </c>
      <c r="AQ24" s="255" t="str">
        <f>IF(Capaian1!AQ22&lt;&gt;"",Capaian1!AQ22,"")</f>
        <v/>
      </c>
      <c r="AR24" s="255" t="str">
        <f>IF(Capaian1!AR22&lt;&gt;"",Capaian1!AR22,"")</f>
        <v/>
      </c>
      <c r="AS24" s="255" t="str">
        <f>IF(Capaian1!AS22&lt;&gt;"",Capaian1!AS22,"")</f>
        <v/>
      </c>
      <c r="AT24" s="255" t="str">
        <f>IF(Capaian1!AT22&lt;&gt;"",Capaian1!AT22,"")</f>
        <v/>
      </c>
      <c r="AU24" s="255" t="str">
        <f>IF(Capaian1!AU22&lt;&gt;"",Capaian1!AU22,"")</f>
        <v/>
      </c>
      <c r="AV24" s="255" t="str">
        <f>IF(Capaian1!AV22&lt;&gt;"",Capaian1!AV22,"")</f>
        <v/>
      </c>
      <c r="AW24" s="255" t="str">
        <f>IF(Capaian1!AW22&lt;&gt;"",Capaian1!AW22,"")</f>
        <v/>
      </c>
      <c r="AX24" s="255">
        <f>IF(Capaian1!AX22&lt;&gt;"",Capaian1!AX22,"")</f>
        <v>3.016</v>
      </c>
      <c r="AY24" s="255">
        <f>IF(Capaian1!AY22&lt;&gt;"",Capaian1!AY22,"")</f>
        <v>3.19</v>
      </c>
      <c r="AZ24" s="255" t="str">
        <f>IF(Capaian1!AZ22&lt;&gt;"",Capaian1!AZ22,"")</f>
        <v>B</v>
      </c>
      <c r="BA24" s="255">
        <f>IF(Capaian1!BA22&lt;&gt;"",Capaian1!BA22,"")</f>
        <v>3.08</v>
      </c>
      <c r="BB24" s="255">
        <f>IF(Capaian1!BB22&lt;&gt;"",Capaian1!BB22,"")</f>
        <v>3.1520000000000006</v>
      </c>
      <c r="BC24" s="255" t="str">
        <f>IF(Capaian1!BC22&lt;&gt;"",Capaian1!BC22,"")</f>
        <v>B</v>
      </c>
      <c r="BD24" s="255">
        <f>IF(Capaian1!BD22&lt;&gt;"",Capaian1!BD22,"")</f>
        <v>3.2480000000000002</v>
      </c>
      <c r="BE24" s="255">
        <f>IF(Capaian1!BE22&lt;&gt;"",Capaian1!BE22,"")</f>
        <v>3.2551999999999999</v>
      </c>
      <c r="BF24" s="255" t="str">
        <f>IF(Capaian1!BF22&lt;&gt;"",Capaian1!BF22,"")</f>
        <v>B</v>
      </c>
      <c r="BG24" s="255">
        <f>IF(Capaian1!BG22&lt;&gt;"",Capaian1!BG22,"")</f>
        <v>2.9466666666666663</v>
      </c>
      <c r="BH24" s="255">
        <f>IF(Capaian1!BH22&lt;&gt;"",Capaian1!BH22,"")</f>
        <v>2.9666666666666663</v>
      </c>
      <c r="BI24" s="255" t="str">
        <f>IF(Capaian1!BI22&lt;&gt;"",Capaian1!BI22,"")</f>
        <v>B</v>
      </c>
      <c r="BJ24" s="255">
        <f>IF(Capaian1!BJ22&lt;&gt;"",Capaian1!BJ22,"")</f>
        <v>2.76</v>
      </c>
      <c r="BK24" s="255">
        <f>IF(Capaian1!BK22&lt;&gt;"",Capaian1!BK22,"")</f>
        <v>2.85</v>
      </c>
      <c r="BL24" s="255" t="str">
        <f>IF(Capaian1!BL22&lt;&gt;"",Capaian1!BL22,"")</f>
        <v>B</v>
      </c>
      <c r="BM24" s="255" t="str">
        <f>IF(Capaian1!BP22&lt;&gt;"",Capaian1!BP22,"")</f>
        <v/>
      </c>
      <c r="BN24" s="255" t="str">
        <f>IF(Capaian1!BQ22&lt;&gt;"",Capaian1!BQ22,"")</f>
        <v/>
      </c>
      <c r="BO24" s="255" t="str">
        <f>IF(Capaian1!BR22&lt;&gt;"",Capaian1!BR22,"")</f>
        <v/>
      </c>
      <c r="BP24" s="255" t="str">
        <f>IF(Capaian1!BS22&lt;&gt;"",Capaian1!BS22,"")</f>
        <v/>
      </c>
      <c r="BQ24" s="255" t="str">
        <f>IF(Capaian1!BT22&lt;&gt;"",Capaian1!BT22,"")</f>
        <v/>
      </c>
      <c r="BR24" s="255" t="str">
        <f>IF(Capaian1!BU22&lt;&gt;"",Capaian1!BU22,"")</f>
        <v/>
      </c>
      <c r="BS24" s="255" t="str">
        <f>IF(Capaian1!BV22&lt;&gt;"",Capaian1!BV22,"")</f>
        <v/>
      </c>
      <c r="BT24" s="255" t="str">
        <f>IF(Capaian1!BW22&lt;&gt;"",Capaian1!BW22,"")</f>
        <v/>
      </c>
      <c r="BU24" s="255" t="str">
        <f>IF(Capaian1!BX22&lt;&gt;"",Capaian1!BX22,"")</f>
        <v/>
      </c>
      <c r="BV24" s="255">
        <f>IF(Capaian1!BM22&lt;&gt;"",Capaian1!BM22,"")</f>
        <v>3.1280000000000001</v>
      </c>
      <c r="BW24" s="255">
        <f>IF(Capaian1!BN22&lt;&gt;"",Capaian1!BN22,"")</f>
        <v>3.2880000000000003</v>
      </c>
      <c r="BX24" s="255" t="str">
        <f>IF(Capaian1!BO22&lt;&gt;"",Capaian1!BO22,"")</f>
        <v>B</v>
      </c>
      <c r="BY24" s="255" t="str">
        <f>IF(Capaian1!BP22&lt;&gt;"",Capaian1!BP22,"")</f>
        <v/>
      </c>
      <c r="BZ24" s="255" t="str">
        <f>IF(Capaian1!BQ22&lt;&gt;"",Capaian1!BQ22,"")</f>
        <v/>
      </c>
      <c r="CA24" s="255" t="str">
        <f>IF(Capaian1!BR22&lt;&gt;"",Capaian1!BR22,"")</f>
        <v/>
      </c>
      <c r="CB24" s="255" t="str">
        <f>IF(Capaian1!BS22&lt;&gt;"",Capaian1!BS22,"")</f>
        <v/>
      </c>
      <c r="CC24" s="255" t="str">
        <f>IF(Capaian1!BT22&lt;&gt;"",Capaian1!BT22,"")</f>
        <v/>
      </c>
      <c r="CD24" s="255" t="str">
        <f>IF(Capaian1!BU22&lt;&gt;"",Capaian1!BU22,"")</f>
        <v/>
      </c>
      <c r="CE24" s="255" t="str">
        <f>IF(Capaian1!BV22&lt;&gt;"",Capaian1!BV22,"")</f>
        <v/>
      </c>
      <c r="CF24" s="255" t="str">
        <f>IF(Capaian1!BW22&lt;&gt;"",Capaian1!BW22,"")</f>
        <v/>
      </c>
      <c r="CG24" s="255" t="str">
        <f>IF(Capaian1!BX22&lt;&gt;"",Capaian1!BX22,"")</f>
        <v/>
      </c>
      <c r="CH24" s="255" t="str">
        <f>IF(Capaian1!BY22&lt;&gt;"",Capaian1!BY22,"")</f>
        <v/>
      </c>
      <c r="CI24" s="255" t="str">
        <f>IF(Capaian1!BZ22&lt;&gt;"",Capaian1!BZ22,"")</f>
        <v/>
      </c>
      <c r="CJ24" s="255" t="str">
        <f>IF(Capaian1!CA22&lt;&gt;"",Capaian1!CA22,"")</f>
        <v/>
      </c>
      <c r="CK24" s="255" t="str">
        <f>IF(Capaian1!CB22&lt;&gt;"",Capaian1!CB22,"")</f>
        <v/>
      </c>
      <c r="CL24" s="255" t="str">
        <f>IF(Capaian1!CC22&lt;&gt;"",Capaian1!CC22,"")</f>
        <v/>
      </c>
      <c r="CM24" s="255" t="str">
        <f>IF(Capaian1!CD22&lt;&gt;"",Capaian1!CD22,"")</f>
        <v/>
      </c>
      <c r="CN24" s="255" t="str">
        <f>IF(Capaian1!CE22&lt;&gt;"",Capaian1!CE22,"")</f>
        <v/>
      </c>
      <c r="CO24" s="255" t="str">
        <f>IF(Capaian1!CF22&lt;&gt;"",Capaian1!CF22,"")</f>
        <v/>
      </c>
      <c r="CP24" s="255" t="str">
        <f>IF(Capaian1!CG22&lt;&gt;"",Capaian1!CG22,"")</f>
        <v/>
      </c>
      <c r="CQ24" s="255">
        <f>IF(Capaian1!CH22&lt;&gt;"",Capaian1!CH22,"")</f>
        <v>3.4733333333333336</v>
      </c>
      <c r="CR24" s="255">
        <f>IF(Capaian1!CI22&lt;&gt;"",Capaian1!CI22,"")</f>
        <v>3.54</v>
      </c>
      <c r="CS24" s="255" t="str">
        <f>IF(Capaian1!CJ22&lt;&gt;"",Capaian1!CJ22,"")</f>
        <v>B</v>
      </c>
      <c r="CT24" s="255" t="str">
        <f>IF(Capaian1!CK22&lt;&gt;"",Capaian1!CK22,"")</f>
        <v/>
      </c>
      <c r="CU24" s="255" t="str">
        <f>IF(Capaian1!CL22&lt;&gt;"",Capaian1!CL22,"")</f>
        <v/>
      </c>
      <c r="CV24" s="255" t="str">
        <f>IF(Capaian1!CM22&lt;&gt;"",Capaian1!CM22,"")</f>
        <v/>
      </c>
      <c r="CW24" s="255" t="str">
        <f>IF(Capaian1!CN22&lt;&gt;"",Capaian1!CN22,"")</f>
        <v>--</v>
      </c>
      <c r="CX24" s="255" t="str">
        <f>IF(Capaian1!CO22&lt;&gt;"",Capaian1!CO22,"")</f>
        <v/>
      </c>
      <c r="CY24" s="255" t="str">
        <f>IF(Capaian1!CP22&lt;&gt;"",Capaian1!CP22,"")</f>
        <v>FUTSAL</v>
      </c>
      <c r="CZ24" s="255" t="str">
        <f>IF(Capaian1!CQ22&lt;&gt;"",Capaian1!CQ22,"")</f>
        <v>A</v>
      </c>
      <c r="DA24" s="255">
        <f>IF(Capaian1!CR22&lt;&gt;"",Capaian1!CR22,"")</f>
        <v>1</v>
      </c>
      <c r="DB24" s="255">
        <f>IF(Capaian1!CS22&lt;&gt;"",Capaian1!CS22,"")</f>
        <v>0</v>
      </c>
      <c r="DC24" s="255">
        <f>IF(Capaian1!CT22&lt;&gt;"",Capaian1!CT22,"")</f>
        <v>0</v>
      </c>
    </row>
    <row r="25" spans="2:107" s="234" customFormat="1" x14ac:dyDescent="0.25">
      <c r="B25" s="238">
        <v>19</v>
      </c>
      <c r="C25" s="238" t="str">
        <f>Peserta_Didik!D21</f>
        <v>1314.10.125</v>
      </c>
      <c r="D25" s="238" t="str">
        <f>Peserta_Didik!C21</f>
        <v>Kharismauli Cindi Cenora BR Limbong</v>
      </c>
      <c r="E25" s="255">
        <f>IF(Capaian1!E23&lt;&gt;"",Capaian1!E23,"")</f>
        <v>3.0559999999999996</v>
      </c>
      <c r="F25" s="255">
        <f>IF(Capaian1!F23&lt;&gt;"",Capaian1!F23,"")</f>
        <v>3.1</v>
      </c>
      <c r="G25" s="255" t="str">
        <f>IF(Capaian1!G23&lt;&gt;"",Capaian1!G23,"")</f>
        <v>B</v>
      </c>
      <c r="H25" s="255">
        <f>IF(Capaian1!H23&lt;&gt;"",Capaian1!H23,"")</f>
        <v>3.2</v>
      </c>
      <c r="I25" s="255">
        <f>IF(Capaian1!I23&lt;&gt;"",Capaian1!I23,"")</f>
        <v>3.4</v>
      </c>
      <c r="J25" s="255" t="str">
        <f>IF(Capaian1!J23&lt;&gt;"",Capaian1!J23,"")</f>
        <v>B</v>
      </c>
      <c r="K25" s="255">
        <f>IF(Capaian1!K23&lt;&gt;"",Capaian1!K23,"")</f>
        <v>3.6719999999999997</v>
      </c>
      <c r="L25" s="255">
        <f>IF(Capaian1!L23&lt;&gt;"",Capaian1!L23,"")</f>
        <v>3.4</v>
      </c>
      <c r="M25" s="255" t="str">
        <f>IF(Capaian1!M23&lt;&gt;"",Capaian1!M23,"")</f>
        <v>B</v>
      </c>
      <c r="N25" s="255">
        <f>IF(Capaian1!N23&lt;&gt;"",Capaian1!N23,"")</f>
        <v>2.5431428571428567</v>
      </c>
      <c r="O25" s="255">
        <f>IF(Capaian1!O23&lt;&gt;"",Capaian1!O23,"")</f>
        <v>2.5657142857142854</v>
      </c>
      <c r="P25" s="255" t="str">
        <f>IF(Capaian1!P23&lt;&gt;"",Capaian1!P23,"")</f>
        <v>B</v>
      </c>
      <c r="Q25" s="255">
        <f>IF(Capaian1!Q23&lt;&gt;"",Capaian1!Q23,"")</f>
        <v>3.1519999999999997</v>
      </c>
      <c r="R25" s="255">
        <f>IF(Capaian1!R23&lt;&gt;"",Capaian1!R23,"")</f>
        <v>3.2133333333333329</v>
      </c>
      <c r="S25" s="255" t="str">
        <f>IF(Capaian1!S23&lt;&gt;"",Capaian1!S23,"")</f>
        <v>B</v>
      </c>
      <c r="T25" s="255">
        <f>IF(Capaian1!T23&lt;&gt;"",Capaian1!T23,"")</f>
        <v>3.2640000000000002</v>
      </c>
      <c r="U25" s="255">
        <f>IF(Capaian1!U23&lt;&gt;"",Capaian1!U23,"")</f>
        <v>3.2239999999999998</v>
      </c>
      <c r="V25" s="255" t="str">
        <f>IF(Capaian1!V23&lt;&gt;"",Capaian1!V23,"")</f>
        <v>B</v>
      </c>
      <c r="W25" s="255">
        <f>IF(Capaian1!W23&lt;&gt;"",Capaian1!W23,"")</f>
        <v>3.5231999999999992</v>
      </c>
      <c r="X25" s="255">
        <f>IF(Capaian1!X23&lt;&gt;"",Capaian1!X23,"")</f>
        <v>3.5439999999999996</v>
      </c>
      <c r="Y25" s="255" t="str">
        <f>IF(Capaian1!Y23&lt;&gt;"",Capaian1!Y23,"")</f>
        <v>B</v>
      </c>
      <c r="Z25" s="255">
        <f>IF(Capaian1!Z23&lt;&gt;"",Capaian1!Z23,"")</f>
        <v>3.2</v>
      </c>
      <c r="AA25" s="255">
        <f>IF(Capaian1!AA23&lt;&gt;"",Capaian1!AA23,"")</f>
        <v>3.395</v>
      </c>
      <c r="AB25" s="255" t="str">
        <f>IF(Capaian1!AB23&lt;&gt;"",Capaian1!AB23,"")</f>
        <v>B</v>
      </c>
      <c r="AC25" s="255">
        <f>IF(Capaian1!AC23&lt;&gt;"",Capaian1!AC23,"")</f>
        <v>3.2319999999999998</v>
      </c>
      <c r="AD25" s="255">
        <f>IF(Capaian1!AD23&lt;&gt;"",Capaian1!AD23,"")</f>
        <v>3.24</v>
      </c>
      <c r="AE25" s="255" t="str">
        <f>IF(Capaian1!AE23&lt;&gt;"",Capaian1!AE23,"")</f>
        <v>B</v>
      </c>
      <c r="AF25" s="255">
        <f>IF(Capaian1!AF23&lt;&gt;"",Capaian1!AF23,"")</f>
        <v>2.9039999999999999</v>
      </c>
      <c r="AG25" s="255">
        <f>IF(Capaian1!AG23&lt;&gt;"",Capaian1!AG23,"")</f>
        <v>3.05</v>
      </c>
      <c r="AH25" s="255" t="str">
        <f>IF(Capaian1!AH23&lt;&gt;"",Capaian1!AH23,"")</f>
        <v>B</v>
      </c>
      <c r="AI25" s="255">
        <f>IF(Capaian1!AI23&lt;&gt;"",Capaian1!AI23,"")</f>
        <v>3.0255999999999998</v>
      </c>
      <c r="AJ25" s="255">
        <f>IF(Capaian1!AJ23&lt;&gt;"",Capaian1!AJ23,"")</f>
        <v>3.0960000000000001</v>
      </c>
      <c r="AK25" s="255" t="str">
        <f>IF(Capaian1!AK23&lt;&gt;"",Capaian1!AK23,"")</f>
        <v>B</v>
      </c>
      <c r="AL25" s="255" t="str">
        <f>IF(Capaian1!AL23&lt;&gt;"",Capaian1!AL23,"")</f>
        <v/>
      </c>
      <c r="AM25" s="255" t="str">
        <f>IF(Capaian1!AM23&lt;&gt;"",Capaian1!AM23,"")</f>
        <v/>
      </c>
      <c r="AN25" s="255" t="str">
        <f>IF(Capaian1!AN23&lt;&gt;"",Capaian1!AN23,"")</f>
        <v/>
      </c>
      <c r="AO25" s="255" t="str">
        <f>IF(Capaian1!AO23&lt;&gt;"",Capaian1!AO23,"")</f>
        <v/>
      </c>
      <c r="AP25" s="255" t="str">
        <f>IF(Capaian1!AP23&lt;&gt;"",Capaian1!AP23,"")</f>
        <v/>
      </c>
      <c r="AQ25" s="255" t="str">
        <f>IF(Capaian1!AQ23&lt;&gt;"",Capaian1!AQ23,"")</f>
        <v/>
      </c>
      <c r="AR25" s="255" t="str">
        <f>IF(Capaian1!AR23&lt;&gt;"",Capaian1!AR23,"")</f>
        <v/>
      </c>
      <c r="AS25" s="255" t="str">
        <f>IF(Capaian1!AS23&lt;&gt;"",Capaian1!AS23,"")</f>
        <v/>
      </c>
      <c r="AT25" s="255" t="str">
        <f>IF(Capaian1!AT23&lt;&gt;"",Capaian1!AT23,"")</f>
        <v/>
      </c>
      <c r="AU25" s="255" t="str">
        <f>IF(Capaian1!AU23&lt;&gt;"",Capaian1!AU23,"")</f>
        <v/>
      </c>
      <c r="AV25" s="255" t="str">
        <f>IF(Capaian1!AV23&lt;&gt;"",Capaian1!AV23,"")</f>
        <v/>
      </c>
      <c r="AW25" s="255" t="str">
        <f>IF(Capaian1!AW23&lt;&gt;"",Capaian1!AW23,"")</f>
        <v/>
      </c>
      <c r="AX25" s="255">
        <f>IF(Capaian1!AX23&lt;&gt;"",Capaian1!AX23,"")</f>
        <v>3.2</v>
      </c>
      <c r="AY25" s="255">
        <f>IF(Capaian1!AY23&lt;&gt;"",Capaian1!AY23,"")</f>
        <v>3.4</v>
      </c>
      <c r="AZ25" s="255" t="str">
        <f>IF(Capaian1!AZ23&lt;&gt;"",Capaian1!AZ23,"")</f>
        <v>B</v>
      </c>
      <c r="BA25" s="255">
        <f>IF(Capaian1!BA23&lt;&gt;"",Capaian1!BA23,"")</f>
        <v>3.0239999999999996</v>
      </c>
      <c r="BB25" s="255">
        <f>IF(Capaian1!BB23&lt;&gt;"",Capaian1!BB23,"")</f>
        <v>3.08</v>
      </c>
      <c r="BC25" s="255" t="str">
        <f>IF(Capaian1!BC23&lt;&gt;"",Capaian1!BC23,"")</f>
        <v>B</v>
      </c>
      <c r="BD25" s="255">
        <f>IF(Capaian1!BD23&lt;&gt;"",Capaian1!BD23,"")</f>
        <v>3.1419999999999999</v>
      </c>
      <c r="BE25" s="255">
        <f>IF(Capaian1!BE23&lt;&gt;"",Capaian1!BE23,"")</f>
        <v>3.2431999999999999</v>
      </c>
      <c r="BF25" s="255" t="str">
        <f>IF(Capaian1!BF23&lt;&gt;"",Capaian1!BF23,"")</f>
        <v>B</v>
      </c>
      <c r="BG25" s="255">
        <f>IF(Capaian1!BG23&lt;&gt;"",Capaian1!BG23,"")</f>
        <v>2.8266666666666662</v>
      </c>
      <c r="BH25" s="255">
        <f>IF(Capaian1!BH23&lt;&gt;"",Capaian1!BH23,"")</f>
        <v>2.8666666666666663</v>
      </c>
      <c r="BI25" s="255" t="str">
        <f>IF(Capaian1!BI23&lt;&gt;"",Capaian1!BI23,"")</f>
        <v>B</v>
      </c>
      <c r="BJ25" s="255">
        <f>IF(Capaian1!BJ23&lt;&gt;"",Capaian1!BJ23,"")</f>
        <v>2.76</v>
      </c>
      <c r="BK25" s="255">
        <f>IF(Capaian1!BK23&lt;&gt;"",Capaian1!BK23,"")</f>
        <v>2.85</v>
      </c>
      <c r="BL25" s="255" t="str">
        <f>IF(Capaian1!BL23&lt;&gt;"",Capaian1!BL23,"")</f>
        <v>B</v>
      </c>
      <c r="BM25" s="255" t="str">
        <f>IF(Capaian1!BP23&lt;&gt;"",Capaian1!BP23,"")</f>
        <v/>
      </c>
      <c r="BN25" s="255" t="str">
        <f>IF(Capaian1!BQ23&lt;&gt;"",Capaian1!BQ23,"")</f>
        <v/>
      </c>
      <c r="BO25" s="255" t="str">
        <f>IF(Capaian1!BR23&lt;&gt;"",Capaian1!BR23,"")</f>
        <v/>
      </c>
      <c r="BP25" s="255" t="str">
        <f>IF(Capaian1!BS23&lt;&gt;"",Capaian1!BS23,"")</f>
        <v/>
      </c>
      <c r="BQ25" s="255" t="str">
        <f>IF(Capaian1!BT23&lt;&gt;"",Capaian1!BT23,"")</f>
        <v/>
      </c>
      <c r="BR25" s="255" t="str">
        <f>IF(Capaian1!BU23&lt;&gt;"",Capaian1!BU23,"")</f>
        <v/>
      </c>
      <c r="BS25" s="255" t="str">
        <f>IF(Capaian1!BV23&lt;&gt;"",Capaian1!BV23,"")</f>
        <v/>
      </c>
      <c r="BT25" s="255" t="str">
        <f>IF(Capaian1!BW23&lt;&gt;"",Capaian1!BW23,"")</f>
        <v/>
      </c>
      <c r="BU25" s="255" t="str">
        <f>IF(Capaian1!BX23&lt;&gt;"",Capaian1!BX23,"")</f>
        <v/>
      </c>
      <c r="BV25" s="255">
        <f>IF(Capaian1!BM23&lt;&gt;"",Capaian1!BM23,"")</f>
        <v>3.0879999999999996</v>
      </c>
      <c r="BW25" s="255">
        <f>IF(Capaian1!BN23&lt;&gt;"",Capaian1!BN23,"")</f>
        <v>3.2280000000000002</v>
      </c>
      <c r="BX25" s="255" t="str">
        <f>IF(Capaian1!BO23&lt;&gt;"",Capaian1!BO23,"")</f>
        <v>B</v>
      </c>
      <c r="BY25" s="255" t="str">
        <f>IF(Capaian1!BP23&lt;&gt;"",Capaian1!BP23,"")</f>
        <v/>
      </c>
      <c r="BZ25" s="255" t="str">
        <f>IF(Capaian1!BQ23&lt;&gt;"",Capaian1!BQ23,"")</f>
        <v/>
      </c>
      <c r="CA25" s="255" t="str">
        <f>IF(Capaian1!BR23&lt;&gt;"",Capaian1!BR23,"")</f>
        <v/>
      </c>
      <c r="CB25" s="255" t="str">
        <f>IF(Capaian1!BS23&lt;&gt;"",Capaian1!BS23,"")</f>
        <v/>
      </c>
      <c r="CC25" s="255" t="str">
        <f>IF(Capaian1!BT23&lt;&gt;"",Capaian1!BT23,"")</f>
        <v/>
      </c>
      <c r="CD25" s="255" t="str">
        <f>IF(Capaian1!BU23&lt;&gt;"",Capaian1!BU23,"")</f>
        <v/>
      </c>
      <c r="CE25" s="255" t="str">
        <f>IF(Capaian1!BV23&lt;&gt;"",Capaian1!BV23,"")</f>
        <v/>
      </c>
      <c r="CF25" s="255" t="str">
        <f>IF(Capaian1!BW23&lt;&gt;"",Capaian1!BW23,"")</f>
        <v/>
      </c>
      <c r="CG25" s="255" t="str">
        <f>IF(Capaian1!BX23&lt;&gt;"",Capaian1!BX23,"")</f>
        <v/>
      </c>
      <c r="CH25" s="255" t="str">
        <f>IF(Capaian1!BY23&lt;&gt;"",Capaian1!BY23,"")</f>
        <v/>
      </c>
      <c r="CI25" s="255" t="str">
        <f>IF(Capaian1!BZ23&lt;&gt;"",Capaian1!BZ23,"")</f>
        <v/>
      </c>
      <c r="CJ25" s="255" t="str">
        <f>IF(Capaian1!CA23&lt;&gt;"",Capaian1!CA23,"")</f>
        <v/>
      </c>
      <c r="CK25" s="255" t="str">
        <f>IF(Capaian1!CB23&lt;&gt;"",Capaian1!CB23,"")</f>
        <v/>
      </c>
      <c r="CL25" s="255" t="str">
        <f>IF(Capaian1!CC23&lt;&gt;"",Capaian1!CC23,"")</f>
        <v/>
      </c>
      <c r="CM25" s="255" t="str">
        <f>IF(Capaian1!CD23&lt;&gt;"",Capaian1!CD23,"")</f>
        <v/>
      </c>
      <c r="CN25" s="255" t="str">
        <f>IF(Capaian1!CE23&lt;&gt;"",Capaian1!CE23,"")</f>
        <v/>
      </c>
      <c r="CO25" s="255" t="str">
        <f>IF(Capaian1!CF23&lt;&gt;"",Capaian1!CF23,"")</f>
        <v/>
      </c>
      <c r="CP25" s="255" t="str">
        <f>IF(Capaian1!CG23&lt;&gt;"",Capaian1!CG23,"")</f>
        <v/>
      </c>
      <c r="CQ25" s="255">
        <f>IF(Capaian1!CH23&lt;&gt;"",Capaian1!CH23,"")</f>
        <v>3.4266666666666663</v>
      </c>
      <c r="CR25" s="255">
        <f>IF(Capaian1!CI23&lt;&gt;"",Capaian1!CI23,"")</f>
        <v>3.54</v>
      </c>
      <c r="CS25" s="255" t="str">
        <f>IF(Capaian1!CJ23&lt;&gt;"",Capaian1!CJ23,"")</f>
        <v>B</v>
      </c>
      <c r="CT25" s="255" t="str">
        <f>IF(Capaian1!CK23&lt;&gt;"",Capaian1!CK23,"")</f>
        <v/>
      </c>
      <c r="CU25" s="255" t="str">
        <f>IF(Capaian1!CL23&lt;&gt;"",Capaian1!CL23,"")</f>
        <v/>
      </c>
      <c r="CV25" s="255" t="str">
        <f>IF(Capaian1!CM23&lt;&gt;"",Capaian1!CM23,"")</f>
        <v/>
      </c>
      <c r="CW25" s="255" t="str">
        <f>IF(Capaian1!CN23&lt;&gt;"",Capaian1!CN23,"")</f>
        <v>--</v>
      </c>
      <c r="CX25" s="255" t="str">
        <f>IF(Capaian1!CO23&lt;&gt;"",Capaian1!CO23,"")</f>
        <v/>
      </c>
      <c r="CY25" s="255" t="str">
        <f>IF(Capaian1!CP23&lt;&gt;"",Capaian1!CP23,"")</f>
        <v>--</v>
      </c>
      <c r="CZ25" s="255" t="str">
        <f>IF(Capaian1!CQ23&lt;&gt;"",Capaian1!CQ23,"")</f>
        <v/>
      </c>
      <c r="DA25" s="255">
        <f>IF(Capaian1!CR23&lt;&gt;"",Capaian1!CR23,"")</f>
        <v>0</v>
      </c>
      <c r="DB25" s="255">
        <f>IF(Capaian1!CS23&lt;&gt;"",Capaian1!CS23,"")</f>
        <v>1</v>
      </c>
      <c r="DC25" s="255">
        <f>IF(Capaian1!CT23&lt;&gt;"",Capaian1!CT23,"")</f>
        <v>0</v>
      </c>
    </row>
    <row r="26" spans="2:107" s="234" customFormat="1" x14ac:dyDescent="0.25">
      <c r="B26" s="238">
        <v>20</v>
      </c>
      <c r="C26" s="238" t="str">
        <f>Peserta_Didik!D22</f>
        <v>1314.10.126</v>
      </c>
      <c r="D26" s="238" t="str">
        <f>Peserta_Didik!C22</f>
        <v>Lalan Maulana Yusup</v>
      </c>
      <c r="E26" s="255">
        <f>IF(Capaian1!E24&lt;&gt;"",Capaian1!E24,"")</f>
        <v>3.24</v>
      </c>
      <c r="F26" s="255">
        <f>IF(Capaian1!F24&lt;&gt;"",Capaian1!F24,"")</f>
        <v>3.3</v>
      </c>
      <c r="G26" s="255" t="str">
        <f>IF(Capaian1!G24&lt;&gt;"",Capaian1!G24,"")</f>
        <v>B</v>
      </c>
      <c r="H26" s="255">
        <f>IF(Capaian1!H24&lt;&gt;"",Capaian1!H24,"")</f>
        <v>3.016</v>
      </c>
      <c r="I26" s="255">
        <f>IF(Capaian1!I24&lt;&gt;"",Capaian1!I24,"")</f>
        <v>3.37</v>
      </c>
      <c r="J26" s="255" t="str">
        <f>IF(Capaian1!J24&lt;&gt;"",Capaian1!J24,"")</f>
        <v>B</v>
      </c>
      <c r="K26" s="255">
        <f>IF(Capaian1!K24&lt;&gt;"",Capaian1!K24,"")</f>
        <v>3.6720000000000006</v>
      </c>
      <c r="L26" s="255">
        <f>IF(Capaian1!L24&lt;&gt;"",Capaian1!L24,"")</f>
        <v>3.2</v>
      </c>
      <c r="M26" s="255" t="str">
        <f>IF(Capaian1!M24&lt;&gt;"",Capaian1!M24,"")</f>
        <v>B</v>
      </c>
      <c r="N26" s="255">
        <f>IF(Capaian1!N24&lt;&gt;"",Capaian1!N24,"")</f>
        <v>2.5869999999999997</v>
      </c>
      <c r="O26" s="255">
        <f>IF(Capaian1!O24&lt;&gt;"",Capaian1!O24,"")</f>
        <v>2.6826666666666665</v>
      </c>
      <c r="P26" s="255" t="str">
        <f>IF(Capaian1!P24&lt;&gt;"",Capaian1!P24,"")</f>
        <v>B</v>
      </c>
      <c r="Q26" s="255">
        <f>IF(Capaian1!Q24&lt;&gt;"",Capaian1!Q24,"")</f>
        <v>3.2919999999999998</v>
      </c>
      <c r="R26" s="255">
        <f>IF(Capaian1!R24&lt;&gt;"",Capaian1!R24,"")</f>
        <v>3.2333333333333329</v>
      </c>
      <c r="S26" s="255" t="str">
        <f>IF(Capaian1!S24&lt;&gt;"",Capaian1!S24,"")</f>
        <v>B</v>
      </c>
      <c r="T26" s="255">
        <f>IF(Capaian1!T24&lt;&gt;"",Capaian1!T24,"")</f>
        <v>3.2640000000000002</v>
      </c>
      <c r="U26" s="255">
        <f>IF(Capaian1!U24&lt;&gt;"",Capaian1!U24,"")</f>
        <v>3.2239999999999998</v>
      </c>
      <c r="V26" s="255" t="str">
        <f>IF(Capaian1!V24&lt;&gt;"",Capaian1!V24,"")</f>
        <v>B</v>
      </c>
      <c r="W26" s="255">
        <f>IF(Capaian1!W24&lt;&gt;"",Capaian1!W24,"")</f>
        <v>3.3648000000000002</v>
      </c>
      <c r="X26" s="255">
        <f>IF(Capaian1!X24&lt;&gt;"",Capaian1!X24,"")</f>
        <v>3.34</v>
      </c>
      <c r="Y26" s="255" t="str">
        <f>IF(Capaian1!Y24&lt;&gt;"",Capaian1!Y24,"")</f>
        <v>B</v>
      </c>
      <c r="Z26" s="255">
        <f>IF(Capaian1!Z24&lt;&gt;"",Capaian1!Z24,"")</f>
        <v>3.52</v>
      </c>
      <c r="AA26" s="255">
        <f>IF(Capaian1!AA24&lt;&gt;"",Capaian1!AA24,"")</f>
        <v>3.1889999999999996</v>
      </c>
      <c r="AB26" s="255" t="str">
        <f>IF(Capaian1!AB24&lt;&gt;"",Capaian1!AB24,"")</f>
        <v>B</v>
      </c>
      <c r="AC26" s="255">
        <f>IF(Capaian1!AC24&lt;&gt;"",Capaian1!AC24,"")</f>
        <v>3.1919999999999997</v>
      </c>
      <c r="AD26" s="255">
        <f>IF(Capaian1!AD24&lt;&gt;"",Capaian1!AD24,"")</f>
        <v>3.24</v>
      </c>
      <c r="AE26" s="255" t="str">
        <f>IF(Capaian1!AE24&lt;&gt;"",Capaian1!AE24,"")</f>
        <v>B</v>
      </c>
      <c r="AF26" s="255">
        <f>IF(Capaian1!AF24&lt;&gt;"",Capaian1!AF24,"")</f>
        <v>2.8889999999999998</v>
      </c>
      <c r="AG26" s="255">
        <f>IF(Capaian1!AG24&lt;&gt;"",Capaian1!AG24,"")</f>
        <v>3</v>
      </c>
      <c r="AH26" s="255" t="str">
        <f>IF(Capaian1!AH24&lt;&gt;"",Capaian1!AH24,"")</f>
        <v>B</v>
      </c>
      <c r="AI26" s="255">
        <f>IF(Capaian1!AI24&lt;&gt;"",Capaian1!AI24,"")</f>
        <v>3.0350000000000001</v>
      </c>
      <c r="AJ26" s="255">
        <f>IF(Capaian1!AJ24&lt;&gt;"",Capaian1!AJ24,"")</f>
        <v>3.0960000000000001</v>
      </c>
      <c r="AK26" s="255" t="str">
        <f>IF(Capaian1!AK24&lt;&gt;"",Capaian1!AK24,"")</f>
        <v>B</v>
      </c>
      <c r="AL26" s="255" t="str">
        <f>IF(Capaian1!AL24&lt;&gt;"",Capaian1!AL24,"")</f>
        <v/>
      </c>
      <c r="AM26" s="255" t="str">
        <f>IF(Capaian1!AM24&lt;&gt;"",Capaian1!AM24,"")</f>
        <v/>
      </c>
      <c r="AN26" s="255" t="str">
        <f>IF(Capaian1!AN24&lt;&gt;"",Capaian1!AN24,"")</f>
        <v/>
      </c>
      <c r="AO26" s="255" t="str">
        <f>IF(Capaian1!AO24&lt;&gt;"",Capaian1!AO24,"")</f>
        <v/>
      </c>
      <c r="AP26" s="255" t="str">
        <f>IF(Capaian1!AP24&lt;&gt;"",Capaian1!AP24,"")</f>
        <v/>
      </c>
      <c r="AQ26" s="255" t="str">
        <f>IF(Capaian1!AQ24&lt;&gt;"",Capaian1!AQ24,"")</f>
        <v/>
      </c>
      <c r="AR26" s="255" t="str">
        <f>IF(Capaian1!AR24&lt;&gt;"",Capaian1!AR24,"")</f>
        <v/>
      </c>
      <c r="AS26" s="255" t="str">
        <f>IF(Capaian1!AS24&lt;&gt;"",Capaian1!AS24,"")</f>
        <v/>
      </c>
      <c r="AT26" s="255" t="str">
        <f>IF(Capaian1!AT24&lt;&gt;"",Capaian1!AT24,"")</f>
        <v/>
      </c>
      <c r="AU26" s="255" t="str">
        <f>IF(Capaian1!AU24&lt;&gt;"",Capaian1!AU24,"")</f>
        <v/>
      </c>
      <c r="AV26" s="255" t="str">
        <f>IF(Capaian1!AV24&lt;&gt;"",Capaian1!AV24,"")</f>
        <v/>
      </c>
      <c r="AW26" s="255" t="str">
        <f>IF(Capaian1!AW24&lt;&gt;"",Capaian1!AW24,"")</f>
        <v/>
      </c>
      <c r="AX26" s="255">
        <f>IF(Capaian1!AX24&lt;&gt;"",Capaian1!AX24,"")</f>
        <v>3.016</v>
      </c>
      <c r="AY26" s="255">
        <f>IF(Capaian1!AY24&lt;&gt;"",Capaian1!AY24,"")</f>
        <v>3.37</v>
      </c>
      <c r="AZ26" s="255" t="str">
        <f>IF(Capaian1!AZ24&lt;&gt;"",Capaian1!AZ24,"")</f>
        <v>B</v>
      </c>
      <c r="BA26" s="255">
        <f>IF(Capaian1!BA24&lt;&gt;"",Capaian1!BA24,"")</f>
        <v>3.052</v>
      </c>
      <c r="BB26" s="255">
        <f>IF(Capaian1!BB24&lt;&gt;"",Capaian1!BB24,"")</f>
        <v>3.1280000000000001</v>
      </c>
      <c r="BC26" s="255" t="str">
        <f>IF(Capaian1!BC24&lt;&gt;"",Capaian1!BC24,"")</f>
        <v>B</v>
      </c>
      <c r="BD26" s="255">
        <f>IF(Capaian1!BD24&lt;&gt;"",Capaian1!BD24,"")</f>
        <v>3.198</v>
      </c>
      <c r="BE26" s="255">
        <f>IF(Capaian1!BE24&lt;&gt;"",Capaian1!BE24,"")</f>
        <v>3.1880000000000002</v>
      </c>
      <c r="BF26" s="255" t="str">
        <f>IF(Capaian1!BF24&lt;&gt;"",Capaian1!BF24,"")</f>
        <v>B</v>
      </c>
      <c r="BG26" s="255">
        <f>IF(Capaian1!BG24&lt;&gt;"",Capaian1!BG24,"")</f>
        <v>2.968</v>
      </c>
      <c r="BH26" s="255">
        <f>IF(Capaian1!BH24&lt;&gt;"",Capaian1!BH24,"")</f>
        <v>2.88</v>
      </c>
      <c r="BI26" s="255" t="str">
        <f>IF(Capaian1!BI24&lt;&gt;"",Capaian1!BI24,"")</f>
        <v>B</v>
      </c>
      <c r="BJ26" s="255">
        <f>IF(Capaian1!BJ24&lt;&gt;"",Capaian1!BJ24,"")</f>
        <v>2.84</v>
      </c>
      <c r="BK26" s="255">
        <f>IF(Capaian1!BK24&lt;&gt;"",Capaian1!BK24,"")</f>
        <v>2.9</v>
      </c>
      <c r="BL26" s="255" t="str">
        <f>IF(Capaian1!BL24&lt;&gt;"",Capaian1!BL24,"")</f>
        <v>B</v>
      </c>
      <c r="BM26" s="255" t="str">
        <f>IF(Capaian1!BP24&lt;&gt;"",Capaian1!BP24,"")</f>
        <v/>
      </c>
      <c r="BN26" s="255" t="str">
        <f>IF(Capaian1!BQ24&lt;&gt;"",Capaian1!BQ24,"")</f>
        <v/>
      </c>
      <c r="BO26" s="255" t="str">
        <f>IF(Capaian1!BR24&lt;&gt;"",Capaian1!BR24,"")</f>
        <v/>
      </c>
      <c r="BP26" s="255" t="str">
        <f>IF(Capaian1!BS24&lt;&gt;"",Capaian1!BS24,"")</f>
        <v/>
      </c>
      <c r="BQ26" s="255" t="str">
        <f>IF(Capaian1!BT24&lt;&gt;"",Capaian1!BT24,"")</f>
        <v/>
      </c>
      <c r="BR26" s="255" t="str">
        <f>IF(Capaian1!BU24&lt;&gt;"",Capaian1!BU24,"")</f>
        <v/>
      </c>
      <c r="BS26" s="255" t="str">
        <f>IF(Capaian1!BV24&lt;&gt;"",Capaian1!BV24,"")</f>
        <v/>
      </c>
      <c r="BT26" s="255" t="str">
        <f>IF(Capaian1!BW24&lt;&gt;"",Capaian1!BW24,"")</f>
        <v/>
      </c>
      <c r="BU26" s="255" t="str">
        <f>IF(Capaian1!BX24&lt;&gt;"",Capaian1!BX24,"")</f>
        <v/>
      </c>
      <c r="BV26" s="255">
        <f>IF(Capaian1!BM24&lt;&gt;"",Capaian1!BM24,"")</f>
        <v>3.0880000000000001</v>
      </c>
      <c r="BW26" s="255">
        <f>IF(Capaian1!BN24&lt;&gt;"",Capaian1!BN24,"")</f>
        <v>3.1739999999999999</v>
      </c>
      <c r="BX26" s="255" t="str">
        <f>IF(Capaian1!BO24&lt;&gt;"",Capaian1!BO24,"")</f>
        <v>B</v>
      </c>
      <c r="BY26" s="255" t="str">
        <f>IF(Capaian1!BP24&lt;&gt;"",Capaian1!BP24,"")</f>
        <v/>
      </c>
      <c r="BZ26" s="255" t="str">
        <f>IF(Capaian1!BQ24&lt;&gt;"",Capaian1!BQ24,"")</f>
        <v/>
      </c>
      <c r="CA26" s="255" t="str">
        <f>IF(Capaian1!BR24&lt;&gt;"",Capaian1!BR24,"")</f>
        <v/>
      </c>
      <c r="CB26" s="255" t="str">
        <f>IF(Capaian1!BS24&lt;&gt;"",Capaian1!BS24,"")</f>
        <v/>
      </c>
      <c r="CC26" s="255" t="str">
        <f>IF(Capaian1!BT24&lt;&gt;"",Capaian1!BT24,"")</f>
        <v/>
      </c>
      <c r="CD26" s="255" t="str">
        <f>IF(Capaian1!BU24&lt;&gt;"",Capaian1!BU24,"")</f>
        <v/>
      </c>
      <c r="CE26" s="255" t="str">
        <f>IF(Capaian1!BV24&lt;&gt;"",Capaian1!BV24,"")</f>
        <v/>
      </c>
      <c r="CF26" s="255" t="str">
        <f>IF(Capaian1!BW24&lt;&gt;"",Capaian1!BW24,"")</f>
        <v/>
      </c>
      <c r="CG26" s="255" t="str">
        <f>IF(Capaian1!BX24&lt;&gt;"",Capaian1!BX24,"")</f>
        <v/>
      </c>
      <c r="CH26" s="255" t="str">
        <f>IF(Capaian1!BY24&lt;&gt;"",Capaian1!BY24,"")</f>
        <v/>
      </c>
      <c r="CI26" s="255" t="str">
        <f>IF(Capaian1!BZ24&lt;&gt;"",Capaian1!BZ24,"")</f>
        <v/>
      </c>
      <c r="CJ26" s="255" t="str">
        <f>IF(Capaian1!CA24&lt;&gt;"",Capaian1!CA24,"")</f>
        <v/>
      </c>
      <c r="CK26" s="255" t="str">
        <f>IF(Capaian1!CB24&lt;&gt;"",Capaian1!CB24,"")</f>
        <v/>
      </c>
      <c r="CL26" s="255" t="str">
        <f>IF(Capaian1!CC24&lt;&gt;"",Capaian1!CC24,"")</f>
        <v/>
      </c>
      <c r="CM26" s="255" t="str">
        <f>IF(Capaian1!CD24&lt;&gt;"",Capaian1!CD24,"")</f>
        <v/>
      </c>
      <c r="CN26" s="255" t="str">
        <f>IF(Capaian1!CE24&lt;&gt;"",Capaian1!CE24,"")</f>
        <v/>
      </c>
      <c r="CO26" s="255" t="str">
        <f>IF(Capaian1!CF24&lt;&gt;"",Capaian1!CF24,"")</f>
        <v/>
      </c>
      <c r="CP26" s="255" t="str">
        <f>IF(Capaian1!CG24&lt;&gt;"",Capaian1!CG24,"")</f>
        <v/>
      </c>
      <c r="CQ26" s="255">
        <f>IF(Capaian1!CH24&lt;&gt;"",Capaian1!CH24,"")</f>
        <v>3.4466666666666663</v>
      </c>
      <c r="CR26" s="255">
        <f>IF(Capaian1!CI24&lt;&gt;"",Capaian1!CI24,"")</f>
        <v>3.54</v>
      </c>
      <c r="CS26" s="255" t="str">
        <f>IF(Capaian1!CJ24&lt;&gt;"",Capaian1!CJ24,"")</f>
        <v>B</v>
      </c>
      <c r="CT26" s="255" t="str">
        <f>IF(Capaian1!CK24&lt;&gt;"",Capaian1!CK24,"")</f>
        <v/>
      </c>
      <c r="CU26" s="255" t="str">
        <f>IF(Capaian1!CL24&lt;&gt;"",Capaian1!CL24,"")</f>
        <v/>
      </c>
      <c r="CV26" s="255" t="str">
        <f>IF(Capaian1!CM24&lt;&gt;"",Capaian1!CM24,"")</f>
        <v/>
      </c>
      <c r="CW26" s="255" t="str">
        <f>IF(Capaian1!CN24&lt;&gt;"",Capaian1!CN24,"")</f>
        <v>--</v>
      </c>
      <c r="CX26" s="255" t="str">
        <f>IF(Capaian1!CO24&lt;&gt;"",Capaian1!CO24,"")</f>
        <v/>
      </c>
      <c r="CY26" s="255" t="str">
        <f>IF(Capaian1!CP24&lt;&gt;"",Capaian1!CP24,"")</f>
        <v>--</v>
      </c>
      <c r="CZ26" s="255" t="str">
        <f>IF(Capaian1!CQ24&lt;&gt;"",Capaian1!CQ24,"")</f>
        <v/>
      </c>
      <c r="DA26" s="255">
        <f>IF(Capaian1!CR24&lt;&gt;"",Capaian1!CR24,"")</f>
        <v>5</v>
      </c>
      <c r="DB26" s="255">
        <f>IF(Capaian1!CS24&lt;&gt;"",Capaian1!CS24,"")</f>
        <v>1</v>
      </c>
      <c r="DC26" s="255">
        <f>IF(Capaian1!CT24&lt;&gt;"",Capaian1!CT24,"")</f>
        <v>5</v>
      </c>
    </row>
    <row r="27" spans="2:107" s="234" customFormat="1" x14ac:dyDescent="0.25">
      <c r="B27" s="238">
        <v>21</v>
      </c>
      <c r="C27" s="238" t="str">
        <f>Peserta_Didik!D23</f>
        <v>1314.10.127</v>
      </c>
      <c r="D27" s="238" t="str">
        <f>Peserta_Didik!C23</f>
        <v>Leni Yuniar</v>
      </c>
      <c r="E27" s="255">
        <f>IF(Capaian1!E25&lt;&gt;"",Capaian1!E25,"")</f>
        <v>3.2960000000000003</v>
      </c>
      <c r="F27" s="255">
        <f>IF(Capaian1!F25&lt;&gt;"",Capaian1!F25,"")</f>
        <v>3.48</v>
      </c>
      <c r="G27" s="255" t="str">
        <f>IF(Capaian1!G25&lt;&gt;"",Capaian1!G25,"")</f>
        <v>B</v>
      </c>
      <c r="H27" s="255">
        <f>IF(Capaian1!H25&lt;&gt;"",Capaian1!H25,"")</f>
        <v>3.1760000000000002</v>
      </c>
      <c r="I27" s="255">
        <f>IF(Capaian1!I25&lt;&gt;"",Capaian1!I25,"")</f>
        <v>3.4</v>
      </c>
      <c r="J27" s="255" t="str">
        <f>IF(Capaian1!J25&lt;&gt;"",Capaian1!J25,"")</f>
        <v>B</v>
      </c>
      <c r="K27" s="255">
        <f>IF(Capaian1!K25&lt;&gt;"",Capaian1!K25,"")</f>
        <v>3.6720000000000006</v>
      </c>
      <c r="L27" s="255">
        <f>IF(Capaian1!L25&lt;&gt;"",Capaian1!L25,"")</f>
        <v>3.4</v>
      </c>
      <c r="M27" s="255" t="str">
        <f>IF(Capaian1!M25&lt;&gt;"",Capaian1!M25,"")</f>
        <v>B</v>
      </c>
      <c r="N27" s="255">
        <f>IF(Capaian1!N25&lt;&gt;"",Capaian1!N25,"")</f>
        <v>2.6222857142857148</v>
      </c>
      <c r="O27" s="255">
        <f>IF(Capaian1!O25&lt;&gt;"",Capaian1!O25,"")</f>
        <v>2.7234285714285718</v>
      </c>
      <c r="P27" s="255" t="str">
        <f>IF(Capaian1!P25&lt;&gt;"",Capaian1!P25,"")</f>
        <v>B</v>
      </c>
      <c r="Q27" s="255">
        <f>IF(Capaian1!Q25&lt;&gt;"",Capaian1!Q25,"")</f>
        <v>3.1813333333333333</v>
      </c>
      <c r="R27" s="255">
        <f>IF(Capaian1!R25&lt;&gt;"",Capaian1!R25,"")</f>
        <v>3.186666666666667</v>
      </c>
      <c r="S27" s="255" t="str">
        <f>IF(Capaian1!S25&lt;&gt;"",Capaian1!S25,"")</f>
        <v>B</v>
      </c>
      <c r="T27" s="255">
        <f>IF(Capaian1!T25&lt;&gt;"",Capaian1!T25,"")</f>
        <v>3.2640000000000002</v>
      </c>
      <c r="U27" s="255">
        <f>IF(Capaian1!U25&lt;&gt;"",Capaian1!U25,"")</f>
        <v>3.2239999999999998</v>
      </c>
      <c r="V27" s="255" t="str">
        <f>IF(Capaian1!V25&lt;&gt;"",Capaian1!V25,"")</f>
        <v>B</v>
      </c>
      <c r="W27" s="255">
        <f>IF(Capaian1!W25&lt;&gt;"",Capaian1!W25,"")</f>
        <v>3.3231999999999999</v>
      </c>
      <c r="X27" s="255">
        <f>IF(Capaian1!X25&lt;&gt;"",Capaian1!X25,"")</f>
        <v>3.2960000000000003</v>
      </c>
      <c r="Y27" s="255" t="str">
        <f>IF(Capaian1!Y25&lt;&gt;"",Capaian1!Y25,"")</f>
        <v>B</v>
      </c>
      <c r="Z27" s="255">
        <f>IF(Capaian1!Z25&lt;&gt;"",Capaian1!Z25,"")</f>
        <v>3.04</v>
      </c>
      <c r="AA27" s="255">
        <f>IF(Capaian1!AA25&lt;&gt;"",Capaian1!AA25,"")</f>
        <v>3.2589999999999999</v>
      </c>
      <c r="AB27" s="255" t="str">
        <f>IF(Capaian1!AB25&lt;&gt;"",Capaian1!AB25,"")</f>
        <v>B</v>
      </c>
      <c r="AC27" s="255">
        <f>IF(Capaian1!AC25&lt;&gt;"",Capaian1!AC25,"")</f>
        <v>3.2</v>
      </c>
      <c r="AD27" s="255">
        <f>IF(Capaian1!AD25&lt;&gt;"",Capaian1!AD25,"")</f>
        <v>3.28</v>
      </c>
      <c r="AE27" s="255" t="str">
        <f>IF(Capaian1!AE25&lt;&gt;"",Capaian1!AE25,"")</f>
        <v>B</v>
      </c>
      <c r="AF27" s="255">
        <f>IF(Capaian1!AF25&lt;&gt;"",Capaian1!AF25,"")</f>
        <v>2.988</v>
      </c>
      <c r="AG27" s="255">
        <f>IF(Capaian1!AG25&lt;&gt;"",Capaian1!AG25,"")</f>
        <v>3.08</v>
      </c>
      <c r="AH27" s="255" t="str">
        <f>IF(Capaian1!AH25&lt;&gt;"",Capaian1!AH25,"")</f>
        <v>SB</v>
      </c>
      <c r="AI27" s="255">
        <f>IF(Capaian1!AI25&lt;&gt;"",Capaian1!AI25,"")</f>
        <v>3.0716000000000001</v>
      </c>
      <c r="AJ27" s="255">
        <f>IF(Capaian1!AJ25&lt;&gt;"",Capaian1!AJ25,"")</f>
        <v>3.1920000000000006</v>
      </c>
      <c r="AK27" s="255" t="str">
        <f>IF(Capaian1!AK25&lt;&gt;"",Capaian1!AK25,"")</f>
        <v>B</v>
      </c>
      <c r="AL27" s="255" t="str">
        <f>IF(Capaian1!AL25&lt;&gt;"",Capaian1!AL25,"")</f>
        <v/>
      </c>
      <c r="AM27" s="255" t="str">
        <f>IF(Capaian1!AM25&lt;&gt;"",Capaian1!AM25,"")</f>
        <v/>
      </c>
      <c r="AN27" s="255" t="str">
        <f>IF(Capaian1!AN25&lt;&gt;"",Capaian1!AN25,"")</f>
        <v/>
      </c>
      <c r="AO27" s="255" t="str">
        <f>IF(Capaian1!AO25&lt;&gt;"",Capaian1!AO25,"")</f>
        <v/>
      </c>
      <c r="AP27" s="255" t="str">
        <f>IF(Capaian1!AP25&lt;&gt;"",Capaian1!AP25,"")</f>
        <v/>
      </c>
      <c r="AQ27" s="255" t="str">
        <f>IF(Capaian1!AQ25&lt;&gt;"",Capaian1!AQ25,"")</f>
        <v/>
      </c>
      <c r="AR27" s="255" t="str">
        <f>IF(Capaian1!AR25&lt;&gt;"",Capaian1!AR25,"")</f>
        <v/>
      </c>
      <c r="AS27" s="255" t="str">
        <f>IF(Capaian1!AS25&lt;&gt;"",Capaian1!AS25,"")</f>
        <v/>
      </c>
      <c r="AT27" s="255" t="str">
        <f>IF(Capaian1!AT25&lt;&gt;"",Capaian1!AT25,"")</f>
        <v/>
      </c>
      <c r="AU27" s="255" t="str">
        <f>IF(Capaian1!AU25&lt;&gt;"",Capaian1!AU25,"")</f>
        <v/>
      </c>
      <c r="AV27" s="255" t="str">
        <f>IF(Capaian1!AV25&lt;&gt;"",Capaian1!AV25,"")</f>
        <v/>
      </c>
      <c r="AW27" s="255" t="str">
        <f>IF(Capaian1!AW25&lt;&gt;"",Capaian1!AW25,"")</f>
        <v/>
      </c>
      <c r="AX27" s="255">
        <f>IF(Capaian1!AX25&lt;&gt;"",Capaian1!AX25,"")</f>
        <v>3.1760000000000002</v>
      </c>
      <c r="AY27" s="255">
        <f>IF(Capaian1!AY25&lt;&gt;"",Capaian1!AY25,"")</f>
        <v>3.4</v>
      </c>
      <c r="AZ27" s="255" t="str">
        <f>IF(Capaian1!AZ25&lt;&gt;"",Capaian1!AZ25,"")</f>
        <v>B</v>
      </c>
      <c r="BA27" s="255">
        <f>IF(Capaian1!BA25&lt;&gt;"",Capaian1!BA25,"")</f>
        <v>3.2</v>
      </c>
      <c r="BB27" s="255">
        <f>IF(Capaian1!BB25&lt;&gt;"",Capaian1!BB25,"")</f>
        <v>3.1280000000000001</v>
      </c>
      <c r="BC27" s="255" t="str">
        <f>IF(Capaian1!BC25&lt;&gt;"",Capaian1!BC25,"")</f>
        <v>B</v>
      </c>
      <c r="BD27" s="255">
        <f>IF(Capaian1!BD25&lt;&gt;"",Capaian1!BD25,"")</f>
        <v>3.2319999999999998</v>
      </c>
      <c r="BE27" s="255">
        <f>IF(Capaian1!BE25&lt;&gt;"",Capaian1!BE25,"")</f>
        <v>3.2395999999999998</v>
      </c>
      <c r="BF27" s="255" t="str">
        <f>IF(Capaian1!BF25&lt;&gt;"",Capaian1!BF25,"")</f>
        <v>B</v>
      </c>
      <c r="BG27" s="255">
        <f>IF(Capaian1!BG25&lt;&gt;"",Capaian1!BG25,"")</f>
        <v>2.9279999999999999</v>
      </c>
      <c r="BH27" s="255">
        <f>IF(Capaian1!BH25&lt;&gt;"",Capaian1!BH25,"")</f>
        <v>2.88</v>
      </c>
      <c r="BI27" s="255" t="str">
        <f>IF(Capaian1!BI25&lt;&gt;"",Capaian1!BI25,"")</f>
        <v>B</v>
      </c>
      <c r="BJ27" s="255">
        <f>IF(Capaian1!BJ25&lt;&gt;"",Capaian1!BJ25,"")</f>
        <v>2.76</v>
      </c>
      <c r="BK27" s="255">
        <f>IF(Capaian1!BK25&lt;&gt;"",Capaian1!BK25,"")</f>
        <v>2.85</v>
      </c>
      <c r="BL27" s="255" t="str">
        <f>IF(Capaian1!BL25&lt;&gt;"",Capaian1!BL25,"")</f>
        <v>B</v>
      </c>
      <c r="BM27" s="255" t="str">
        <f>IF(Capaian1!BP25&lt;&gt;"",Capaian1!BP25,"")</f>
        <v/>
      </c>
      <c r="BN27" s="255" t="str">
        <f>IF(Capaian1!BQ25&lt;&gt;"",Capaian1!BQ25,"")</f>
        <v/>
      </c>
      <c r="BO27" s="255" t="str">
        <f>IF(Capaian1!BR25&lt;&gt;"",Capaian1!BR25,"")</f>
        <v/>
      </c>
      <c r="BP27" s="255" t="str">
        <f>IF(Capaian1!BS25&lt;&gt;"",Capaian1!BS25,"")</f>
        <v/>
      </c>
      <c r="BQ27" s="255" t="str">
        <f>IF(Capaian1!BT25&lt;&gt;"",Capaian1!BT25,"")</f>
        <v/>
      </c>
      <c r="BR27" s="255" t="str">
        <f>IF(Capaian1!BU25&lt;&gt;"",Capaian1!BU25,"")</f>
        <v/>
      </c>
      <c r="BS27" s="255" t="str">
        <f>IF(Capaian1!BV25&lt;&gt;"",Capaian1!BV25,"")</f>
        <v/>
      </c>
      <c r="BT27" s="255" t="str">
        <f>IF(Capaian1!BW25&lt;&gt;"",Capaian1!BW25,"")</f>
        <v/>
      </c>
      <c r="BU27" s="255" t="str">
        <f>IF(Capaian1!BX25&lt;&gt;"",Capaian1!BX25,"")</f>
        <v/>
      </c>
      <c r="BV27" s="255">
        <f>IF(Capaian1!BM25&lt;&gt;"",Capaian1!BM25,"")</f>
        <v>3.2280000000000002</v>
      </c>
      <c r="BW27" s="255">
        <f>IF(Capaian1!BN25&lt;&gt;"",Capaian1!BN25,"")</f>
        <v>3.262</v>
      </c>
      <c r="BX27" s="255" t="str">
        <f>IF(Capaian1!BO25&lt;&gt;"",Capaian1!BO25,"")</f>
        <v>B</v>
      </c>
      <c r="BY27" s="255" t="str">
        <f>IF(Capaian1!BP25&lt;&gt;"",Capaian1!BP25,"")</f>
        <v/>
      </c>
      <c r="BZ27" s="255" t="str">
        <f>IF(Capaian1!BQ25&lt;&gt;"",Capaian1!BQ25,"")</f>
        <v/>
      </c>
      <c r="CA27" s="255" t="str">
        <f>IF(Capaian1!BR25&lt;&gt;"",Capaian1!BR25,"")</f>
        <v/>
      </c>
      <c r="CB27" s="255" t="str">
        <f>IF(Capaian1!BS25&lt;&gt;"",Capaian1!BS25,"")</f>
        <v/>
      </c>
      <c r="CC27" s="255" t="str">
        <f>IF(Capaian1!BT25&lt;&gt;"",Capaian1!BT25,"")</f>
        <v/>
      </c>
      <c r="CD27" s="255" t="str">
        <f>IF(Capaian1!BU25&lt;&gt;"",Capaian1!BU25,"")</f>
        <v/>
      </c>
      <c r="CE27" s="255" t="str">
        <f>IF(Capaian1!BV25&lt;&gt;"",Capaian1!BV25,"")</f>
        <v/>
      </c>
      <c r="CF27" s="255" t="str">
        <f>IF(Capaian1!BW25&lt;&gt;"",Capaian1!BW25,"")</f>
        <v/>
      </c>
      <c r="CG27" s="255" t="str">
        <f>IF(Capaian1!BX25&lt;&gt;"",Capaian1!BX25,"")</f>
        <v/>
      </c>
      <c r="CH27" s="255" t="str">
        <f>IF(Capaian1!BY25&lt;&gt;"",Capaian1!BY25,"")</f>
        <v/>
      </c>
      <c r="CI27" s="255" t="str">
        <f>IF(Capaian1!BZ25&lt;&gt;"",Capaian1!BZ25,"")</f>
        <v/>
      </c>
      <c r="CJ27" s="255" t="str">
        <f>IF(Capaian1!CA25&lt;&gt;"",Capaian1!CA25,"")</f>
        <v/>
      </c>
      <c r="CK27" s="255" t="str">
        <f>IF(Capaian1!CB25&lt;&gt;"",Capaian1!CB25,"")</f>
        <v/>
      </c>
      <c r="CL27" s="255" t="str">
        <f>IF(Capaian1!CC25&lt;&gt;"",Capaian1!CC25,"")</f>
        <v/>
      </c>
      <c r="CM27" s="255" t="str">
        <f>IF(Capaian1!CD25&lt;&gt;"",Capaian1!CD25,"")</f>
        <v/>
      </c>
      <c r="CN27" s="255" t="str">
        <f>IF(Capaian1!CE25&lt;&gt;"",Capaian1!CE25,"")</f>
        <v/>
      </c>
      <c r="CO27" s="255" t="str">
        <f>IF(Capaian1!CF25&lt;&gt;"",Capaian1!CF25,"")</f>
        <v/>
      </c>
      <c r="CP27" s="255" t="str">
        <f>IF(Capaian1!CG25&lt;&gt;"",Capaian1!CG25,"")</f>
        <v/>
      </c>
      <c r="CQ27" s="255">
        <f>IF(Capaian1!CH25&lt;&gt;"",Capaian1!CH25,"")</f>
        <v>3.5333333333333337</v>
      </c>
      <c r="CR27" s="255">
        <f>IF(Capaian1!CI25&lt;&gt;"",Capaian1!CI25,"")</f>
        <v>3.6</v>
      </c>
      <c r="CS27" s="255" t="str">
        <f>IF(Capaian1!CJ25&lt;&gt;"",Capaian1!CJ25,"")</f>
        <v>B</v>
      </c>
      <c r="CT27" s="255" t="str">
        <f>IF(Capaian1!CK25&lt;&gt;"",Capaian1!CK25,"")</f>
        <v/>
      </c>
      <c r="CU27" s="255" t="str">
        <f>IF(Capaian1!CL25&lt;&gt;"",Capaian1!CL25,"")</f>
        <v/>
      </c>
      <c r="CV27" s="255" t="str">
        <f>IF(Capaian1!CM25&lt;&gt;"",Capaian1!CM25,"")</f>
        <v/>
      </c>
      <c r="CW27" s="255" t="str">
        <f>IF(Capaian1!CN25&lt;&gt;"",Capaian1!CN25,"")</f>
        <v>--</v>
      </c>
      <c r="CX27" s="255" t="str">
        <f>IF(Capaian1!CO25&lt;&gt;"",Capaian1!CO25,"")</f>
        <v/>
      </c>
      <c r="CY27" s="255" t="str">
        <f>IF(Capaian1!CP25&lt;&gt;"",Capaian1!CP25,"")</f>
        <v>--</v>
      </c>
      <c r="CZ27" s="255" t="str">
        <f>IF(Capaian1!CQ25&lt;&gt;"",Capaian1!CQ25,"")</f>
        <v/>
      </c>
      <c r="DA27" s="255">
        <f>IF(Capaian1!CR25&lt;&gt;"",Capaian1!CR25,"")</f>
        <v>1</v>
      </c>
      <c r="DB27" s="255">
        <f>IF(Capaian1!CS25&lt;&gt;"",Capaian1!CS25,"")</f>
        <v>2</v>
      </c>
      <c r="DC27" s="255">
        <f>IF(Capaian1!CT25&lt;&gt;"",Capaian1!CT25,"")</f>
        <v>0</v>
      </c>
    </row>
    <row r="28" spans="2:107" s="234" customFormat="1" x14ac:dyDescent="0.25">
      <c r="B28" s="238">
        <v>22</v>
      </c>
      <c r="C28" s="238" t="str">
        <f>Peserta_Didik!D24</f>
        <v>1314.10.128</v>
      </c>
      <c r="D28" s="238" t="str">
        <f>Peserta_Didik!C24</f>
        <v>Mochamad Fanny Luthfiana</v>
      </c>
      <c r="E28" s="255">
        <f>IF(Capaian1!E26&lt;&gt;"",Capaian1!E26,"")</f>
        <v>3.4960000000000004</v>
      </c>
      <c r="F28" s="255">
        <f>IF(Capaian1!F26&lt;&gt;"",Capaian1!F26,"")</f>
        <v>3.5</v>
      </c>
      <c r="G28" s="255" t="str">
        <f>IF(Capaian1!G26&lt;&gt;"",Capaian1!G26,"")</f>
        <v>B</v>
      </c>
      <c r="H28" s="255">
        <f>IF(Capaian1!H26&lt;&gt;"",Capaian1!H26,"")</f>
        <v>3.1759999999999997</v>
      </c>
      <c r="I28" s="255">
        <f>IF(Capaian1!I26&lt;&gt;"",Capaian1!I26,"")</f>
        <v>3.4</v>
      </c>
      <c r="J28" s="255" t="str">
        <f>IF(Capaian1!J26&lt;&gt;"",Capaian1!J26,"")</f>
        <v>B</v>
      </c>
      <c r="K28" s="255">
        <f>IF(Capaian1!K26&lt;&gt;"",Capaian1!K26,"")</f>
        <v>3.3439999999999999</v>
      </c>
      <c r="L28" s="255">
        <f>IF(Capaian1!L26&lt;&gt;"",Capaian1!L26,"")</f>
        <v>3.2</v>
      </c>
      <c r="M28" s="255" t="str">
        <f>IF(Capaian1!M26&lt;&gt;"",Capaian1!M26,"")</f>
        <v>B</v>
      </c>
      <c r="N28" s="255">
        <f>IF(Capaian1!N26&lt;&gt;"",Capaian1!N26,"")</f>
        <v>2.5804285714285715</v>
      </c>
      <c r="O28" s="255">
        <f>IF(Capaian1!O26&lt;&gt;"",Capaian1!O26,"")</f>
        <v>2.6118095238095242</v>
      </c>
      <c r="P28" s="255" t="str">
        <f>IF(Capaian1!P26&lt;&gt;"",Capaian1!P26,"")</f>
        <v>B</v>
      </c>
      <c r="Q28" s="255">
        <f>IF(Capaian1!Q26&lt;&gt;"",Capaian1!Q26,"")</f>
        <v>3.4293333333333327</v>
      </c>
      <c r="R28" s="255">
        <f>IF(Capaian1!R26&lt;&gt;"",Capaian1!R26,"")</f>
        <v>3.3466666666666667</v>
      </c>
      <c r="S28" s="255" t="str">
        <f>IF(Capaian1!S26&lt;&gt;"",Capaian1!S26,"")</f>
        <v>B</v>
      </c>
      <c r="T28" s="255">
        <f>IF(Capaian1!T26&lt;&gt;"",Capaian1!T26,"")</f>
        <v>3.2640000000000002</v>
      </c>
      <c r="U28" s="255">
        <f>IF(Capaian1!U26&lt;&gt;"",Capaian1!U26,"")</f>
        <v>3.2239999999999998</v>
      </c>
      <c r="V28" s="255" t="str">
        <f>IF(Capaian1!V26&lt;&gt;"",Capaian1!V26,"")</f>
        <v>B</v>
      </c>
      <c r="W28" s="255">
        <f>IF(Capaian1!W26&lt;&gt;"",Capaian1!W26,"")</f>
        <v>3.2240000000000002</v>
      </c>
      <c r="X28" s="255">
        <f>IF(Capaian1!X26&lt;&gt;"",Capaian1!X26,"")</f>
        <v>3.2480000000000002</v>
      </c>
      <c r="Y28" s="255" t="str">
        <f>IF(Capaian1!Y26&lt;&gt;"",Capaian1!Y26,"")</f>
        <v>B</v>
      </c>
      <c r="Z28" s="255">
        <f>IF(Capaian1!Z26&lt;&gt;"",Capaian1!Z26,"")</f>
        <v>3.44</v>
      </c>
      <c r="AA28" s="255">
        <f>IF(Capaian1!AA26&lt;&gt;"",Capaian1!AA26,"")</f>
        <v>3.21</v>
      </c>
      <c r="AB28" s="255" t="str">
        <f>IF(Capaian1!AB26&lt;&gt;"",Capaian1!AB26,"")</f>
        <v>B</v>
      </c>
      <c r="AC28" s="255">
        <f>IF(Capaian1!AC26&lt;&gt;"",Capaian1!AC26,"")</f>
        <v>3.1919999999999997</v>
      </c>
      <c r="AD28" s="255">
        <f>IF(Capaian1!AD26&lt;&gt;"",Capaian1!AD26,"")</f>
        <v>3.24</v>
      </c>
      <c r="AE28" s="255" t="str">
        <f>IF(Capaian1!AE26&lt;&gt;"",Capaian1!AE26,"")</f>
        <v>B</v>
      </c>
      <c r="AF28" s="255">
        <f>IF(Capaian1!AF26&lt;&gt;"",Capaian1!AF26,"")</f>
        <v>2.9510000000000001</v>
      </c>
      <c r="AG28" s="255">
        <f>IF(Capaian1!AG26&lt;&gt;"",Capaian1!AG26,"")</f>
        <v>3.06</v>
      </c>
      <c r="AH28" s="255" t="str">
        <f>IF(Capaian1!AH26&lt;&gt;"",Capaian1!AH26,"")</f>
        <v>B</v>
      </c>
      <c r="AI28" s="255">
        <f>IF(Capaian1!AI26&lt;&gt;"",Capaian1!AI26,"")</f>
        <v>3.1879999999999997</v>
      </c>
      <c r="AJ28" s="255">
        <f>IF(Capaian1!AJ26&lt;&gt;"",Capaian1!AJ26,"")</f>
        <v>3.28</v>
      </c>
      <c r="AK28" s="255" t="str">
        <f>IF(Capaian1!AK26&lt;&gt;"",Capaian1!AK26,"")</f>
        <v>B</v>
      </c>
      <c r="AL28" s="255" t="str">
        <f>IF(Capaian1!AL26&lt;&gt;"",Capaian1!AL26,"")</f>
        <v/>
      </c>
      <c r="AM28" s="255" t="str">
        <f>IF(Capaian1!AM26&lt;&gt;"",Capaian1!AM26,"")</f>
        <v/>
      </c>
      <c r="AN28" s="255" t="str">
        <f>IF(Capaian1!AN26&lt;&gt;"",Capaian1!AN26,"")</f>
        <v/>
      </c>
      <c r="AO28" s="255" t="str">
        <f>IF(Capaian1!AO26&lt;&gt;"",Capaian1!AO26,"")</f>
        <v/>
      </c>
      <c r="AP28" s="255" t="str">
        <f>IF(Capaian1!AP26&lt;&gt;"",Capaian1!AP26,"")</f>
        <v/>
      </c>
      <c r="AQ28" s="255" t="str">
        <f>IF(Capaian1!AQ26&lt;&gt;"",Capaian1!AQ26,"")</f>
        <v/>
      </c>
      <c r="AR28" s="255" t="str">
        <f>IF(Capaian1!AR26&lt;&gt;"",Capaian1!AR26,"")</f>
        <v/>
      </c>
      <c r="AS28" s="255" t="str">
        <f>IF(Capaian1!AS26&lt;&gt;"",Capaian1!AS26,"")</f>
        <v/>
      </c>
      <c r="AT28" s="255" t="str">
        <f>IF(Capaian1!AT26&lt;&gt;"",Capaian1!AT26,"")</f>
        <v/>
      </c>
      <c r="AU28" s="255" t="str">
        <f>IF(Capaian1!AU26&lt;&gt;"",Capaian1!AU26,"")</f>
        <v/>
      </c>
      <c r="AV28" s="255" t="str">
        <f>IF(Capaian1!AV26&lt;&gt;"",Capaian1!AV26,"")</f>
        <v/>
      </c>
      <c r="AW28" s="255" t="str">
        <f>IF(Capaian1!AW26&lt;&gt;"",Capaian1!AW26,"")</f>
        <v/>
      </c>
      <c r="AX28" s="255">
        <f>IF(Capaian1!AX26&lt;&gt;"",Capaian1!AX26,"")</f>
        <v>3.1759999999999997</v>
      </c>
      <c r="AY28" s="255">
        <f>IF(Capaian1!AY26&lt;&gt;"",Capaian1!AY26,"")</f>
        <v>3.4</v>
      </c>
      <c r="AZ28" s="255" t="str">
        <f>IF(Capaian1!AZ26&lt;&gt;"",Capaian1!AZ26,"")</f>
        <v>B</v>
      </c>
      <c r="BA28" s="255">
        <f>IF(Capaian1!BA26&lt;&gt;"",Capaian1!BA26,"")</f>
        <v>3.24</v>
      </c>
      <c r="BB28" s="255">
        <f>IF(Capaian1!BB26&lt;&gt;"",Capaian1!BB26,"")</f>
        <v>3.28</v>
      </c>
      <c r="BC28" s="255" t="str">
        <f>IF(Capaian1!BC26&lt;&gt;"",Capaian1!BC26,"")</f>
        <v>B</v>
      </c>
      <c r="BD28" s="255">
        <f>IF(Capaian1!BD26&lt;&gt;"",Capaian1!BD26,"")</f>
        <v>3.262</v>
      </c>
      <c r="BE28" s="255">
        <f>IF(Capaian1!BE26&lt;&gt;"",Capaian1!BE26,"")</f>
        <v>3.4560000000000004</v>
      </c>
      <c r="BF28" s="255" t="str">
        <f>IF(Capaian1!BF26&lt;&gt;"",Capaian1!BF26,"")</f>
        <v>SB</v>
      </c>
      <c r="BG28" s="255">
        <f>IF(Capaian1!BG26&lt;&gt;"",Capaian1!BG26,"")</f>
        <v>2.88</v>
      </c>
      <c r="BH28" s="255">
        <f>IF(Capaian1!BH26&lt;&gt;"",Capaian1!BH26,"")</f>
        <v>2.9</v>
      </c>
      <c r="BI28" s="255" t="str">
        <f>IF(Capaian1!BI26&lt;&gt;"",Capaian1!BI26,"")</f>
        <v>B</v>
      </c>
      <c r="BJ28" s="255">
        <f>IF(Capaian1!BJ26&lt;&gt;"",Capaian1!BJ26,"")</f>
        <v>3</v>
      </c>
      <c r="BK28" s="255">
        <f>IF(Capaian1!BK26&lt;&gt;"",Capaian1!BK26,"")</f>
        <v>3.24</v>
      </c>
      <c r="BL28" s="255" t="str">
        <f>IF(Capaian1!BL26&lt;&gt;"",Capaian1!BL26,"")</f>
        <v>B</v>
      </c>
      <c r="BM28" s="255" t="str">
        <f>IF(Capaian1!BP26&lt;&gt;"",Capaian1!BP26,"")</f>
        <v/>
      </c>
      <c r="BN28" s="255" t="str">
        <f>IF(Capaian1!BQ26&lt;&gt;"",Capaian1!BQ26,"")</f>
        <v/>
      </c>
      <c r="BO28" s="255" t="str">
        <f>IF(Capaian1!BR26&lt;&gt;"",Capaian1!BR26,"")</f>
        <v/>
      </c>
      <c r="BP28" s="255" t="str">
        <f>IF(Capaian1!BS26&lt;&gt;"",Capaian1!BS26,"")</f>
        <v/>
      </c>
      <c r="BQ28" s="255" t="str">
        <f>IF(Capaian1!BT26&lt;&gt;"",Capaian1!BT26,"")</f>
        <v/>
      </c>
      <c r="BR28" s="255" t="str">
        <f>IF(Capaian1!BU26&lt;&gt;"",Capaian1!BU26,"")</f>
        <v/>
      </c>
      <c r="BS28" s="255" t="str">
        <f>IF(Capaian1!BV26&lt;&gt;"",Capaian1!BV26,"")</f>
        <v/>
      </c>
      <c r="BT28" s="255" t="str">
        <f>IF(Capaian1!BW26&lt;&gt;"",Capaian1!BW26,"")</f>
        <v/>
      </c>
      <c r="BU28" s="255" t="str">
        <f>IF(Capaian1!BX26&lt;&gt;"",Capaian1!BX26,"")</f>
        <v/>
      </c>
      <c r="BV28" s="255">
        <f>IF(Capaian1!BM26&lt;&gt;"",Capaian1!BM26,"")</f>
        <v>3.3879999999999995</v>
      </c>
      <c r="BW28" s="255">
        <f>IF(Capaian1!BN26&lt;&gt;"",Capaian1!BN26,"")</f>
        <v>3.3339999999999996</v>
      </c>
      <c r="BX28" s="255" t="str">
        <f>IF(Capaian1!BO26&lt;&gt;"",Capaian1!BO26,"")</f>
        <v>SB</v>
      </c>
      <c r="BY28" s="255" t="str">
        <f>IF(Capaian1!BP26&lt;&gt;"",Capaian1!BP26,"")</f>
        <v/>
      </c>
      <c r="BZ28" s="255" t="str">
        <f>IF(Capaian1!BQ26&lt;&gt;"",Capaian1!BQ26,"")</f>
        <v/>
      </c>
      <c r="CA28" s="255" t="str">
        <f>IF(Capaian1!BR26&lt;&gt;"",Capaian1!BR26,"")</f>
        <v/>
      </c>
      <c r="CB28" s="255" t="str">
        <f>IF(Capaian1!BS26&lt;&gt;"",Capaian1!BS26,"")</f>
        <v/>
      </c>
      <c r="CC28" s="255" t="str">
        <f>IF(Capaian1!BT26&lt;&gt;"",Capaian1!BT26,"")</f>
        <v/>
      </c>
      <c r="CD28" s="255" t="str">
        <f>IF(Capaian1!BU26&lt;&gt;"",Capaian1!BU26,"")</f>
        <v/>
      </c>
      <c r="CE28" s="255" t="str">
        <f>IF(Capaian1!BV26&lt;&gt;"",Capaian1!BV26,"")</f>
        <v/>
      </c>
      <c r="CF28" s="255" t="str">
        <f>IF(Capaian1!BW26&lt;&gt;"",Capaian1!BW26,"")</f>
        <v/>
      </c>
      <c r="CG28" s="255" t="str">
        <f>IF(Capaian1!BX26&lt;&gt;"",Capaian1!BX26,"")</f>
        <v/>
      </c>
      <c r="CH28" s="255" t="str">
        <f>IF(Capaian1!BY26&lt;&gt;"",Capaian1!BY26,"")</f>
        <v/>
      </c>
      <c r="CI28" s="255" t="str">
        <f>IF(Capaian1!BZ26&lt;&gt;"",Capaian1!BZ26,"")</f>
        <v/>
      </c>
      <c r="CJ28" s="255" t="str">
        <f>IF(Capaian1!CA26&lt;&gt;"",Capaian1!CA26,"")</f>
        <v/>
      </c>
      <c r="CK28" s="255" t="str">
        <f>IF(Capaian1!CB26&lt;&gt;"",Capaian1!CB26,"")</f>
        <v/>
      </c>
      <c r="CL28" s="255" t="str">
        <f>IF(Capaian1!CC26&lt;&gt;"",Capaian1!CC26,"")</f>
        <v/>
      </c>
      <c r="CM28" s="255" t="str">
        <f>IF(Capaian1!CD26&lt;&gt;"",Capaian1!CD26,"")</f>
        <v/>
      </c>
      <c r="CN28" s="255" t="str">
        <f>IF(Capaian1!CE26&lt;&gt;"",Capaian1!CE26,"")</f>
        <v/>
      </c>
      <c r="CO28" s="255" t="str">
        <f>IF(Capaian1!CF26&lt;&gt;"",Capaian1!CF26,"")</f>
        <v/>
      </c>
      <c r="CP28" s="255" t="str">
        <f>IF(Capaian1!CG26&lt;&gt;"",Capaian1!CG26,"")</f>
        <v/>
      </c>
      <c r="CQ28" s="255">
        <f>IF(Capaian1!CH26&lt;&gt;"",Capaian1!CH26,"")</f>
        <v>3.5466666666666664</v>
      </c>
      <c r="CR28" s="255">
        <f>IF(Capaian1!CI26&lt;&gt;"",Capaian1!CI26,"")</f>
        <v>3.64</v>
      </c>
      <c r="CS28" s="255" t="str">
        <f>IF(Capaian1!CJ26&lt;&gt;"",Capaian1!CJ26,"")</f>
        <v>B</v>
      </c>
      <c r="CT28" s="255" t="str">
        <f>IF(Capaian1!CK26&lt;&gt;"",Capaian1!CK26,"")</f>
        <v/>
      </c>
      <c r="CU28" s="255" t="str">
        <f>IF(Capaian1!CL26&lt;&gt;"",Capaian1!CL26,"")</f>
        <v/>
      </c>
      <c r="CV28" s="255" t="str">
        <f>IF(Capaian1!CM26&lt;&gt;"",Capaian1!CM26,"")</f>
        <v/>
      </c>
      <c r="CW28" s="255" t="str">
        <f>IF(Capaian1!CN26&lt;&gt;"",Capaian1!CN26,"")</f>
        <v>--</v>
      </c>
      <c r="CX28" s="255" t="str">
        <f>IF(Capaian1!CO26&lt;&gt;"",Capaian1!CO26,"")</f>
        <v/>
      </c>
      <c r="CY28" s="255" t="str">
        <f>IF(Capaian1!CP26&lt;&gt;"",Capaian1!CP26,"")</f>
        <v>--</v>
      </c>
      <c r="CZ28" s="255" t="str">
        <f>IF(Capaian1!CQ26&lt;&gt;"",Capaian1!CQ26,"")</f>
        <v/>
      </c>
      <c r="DA28" s="255">
        <f>IF(Capaian1!CR26&lt;&gt;"",Capaian1!CR26,"")</f>
        <v>0</v>
      </c>
      <c r="DB28" s="255">
        <f>IF(Capaian1!CS26&lt;&gt;"",Capaian1!CS26,"")</f>
        <v>0</v>
      </c>
      <c r="DC28" s="255">
        <f>IF(Capaian1!CT26&lt;&gt;"",Capaian1!CT26,"")</f>
        <v>0</v>
      </c>
    </row>
    <row r="29" spans="2:107" s="234" customFormat="1" x14ac:dyDescent="0.25">
      <c r="B29" s="238">
        <v>23</v>
      </c>
      <c r="C29" s="238" t="str">
        <f>Peserta_Didik!D25</f>
        <v>1314.10.129</v>
      </c>
      <c r="D29" s="238" t="str">
        <f>Peserta_Didik!C25</f>
        <v>Mochammad Rofiq Sofyan</v>
      </c>
      <c r="E29" s="255">
        <f>IF(Capaian1!E27&lt;&gt;"",Capaian1!E27,"")</f>
        <v>3.472</v>
      </c>
      <c r="F29" s="255">
        <f>IF(Capaian1!F27&lt;&gt;"",Capaian1!F27,"")</f>
        <v>3.54</v>
      </c>
      <c r="G29" s="255" t="str">
        <f>IF(Capaian1!G27&lt;&gt;"",Capaian1!G27,"")</f>
        <v>B</v>
      </c>
      <c r="H29" s="255">
        <f>IF(Capaian1!H27&lt;&gt;"",Capaian1!H27,"")</f>
        <v>3.04</v>
      </c>
      <c r="I29" s="255">
        <f>IF(Capaian1!I27&lt;&gt;"",Capaian1!I27,"")</f>
        <v>3.32</v>
      </c>
      <c r="J29" s="255" t="str">
        <f>IF(Capaian1!J27&lt;&gt;"",Capaian1!J27,"")</f>
        <v>B</v>
      </c>
      <c r="K29" s="255">
        <f>IF(Capaian1!K27&lt;&gt;"",Capaian1!K27,"")</f>
        <v>3.3439999999999999</v>
      </c>
      <c r="L29" s="255">
        <f>IF(Capaian1!L27&lt;&gt;"",Capaian1!L27,"")</f>
        <v>3.2</v>
      </c>
      <c r="M29" s="255" t="str">
        <f>IF(Capaian1!M27&lt;&gt;"",Capaian1!M27,"")</f>
        <v>B</v>
      </c>
      <c r="N29" s="255">
        <f>IF(Capaian1!N27&lt;&gt;"",Capaian1!N27,"")</f>
        <v>2.6628571428571428</v>
      </c>
      <c r="O29" s="255">
        <f>IF(Capaian1!O27&lt;&gt;"",Capaian1!O27,"")</f>
        <v>2.7916190476190472</v>
      </c>
      <c r="P29" s="255" t="str">
        <f>IF(Capaian1!P27&lt;&gt;"",Capaian1!P27,"")</f>
        <v>B</v>
      </c>
      <c r="Q29" s="255">
        <f>IF(Capaian1!Q27&lt;&gt;"",Capaian1!Q27,"")</f>
        <v>3.2239999999999998</v>
      </c>
      <c r="R29" s="255">
        <f>IF(Capaian1!R27&lt;&gt;"",Capaian1!R27,"")</f>
        <v>3.12</v>
      </c>
      <c r="S29" s="255" t="str">
        <f>IF(Capaian1!S27&lt;&gt;"",Capaian1!S27,"")</f>
        <v>B</v>
      </c>
      <c r="T29" s="255">
        <f>IF(Capaian1!T27&lt;&gt;"",Capaian1!T27,"")</f>
        <v>3.2640000000000002</v>
      </c>
      <c r="U29" s="255">
        <f>IF(Capaian1!U27&lt;&gt;"",Capaian1!U27,"")</f>
        <v>3.2239999999999998</v>
      </c>
      <c r="V29" s="255" t="str">
        <f>IF(Capaian1!V27&lt;&gt;"",Capaian1!V27,"")</f>
        <v>B</v>
      </c>
      <c r="W29" s="255">
        <f>IF(Capaian1!W27&lt;&gt;"",Capaian1!W27,"")</f>
        <v>3.2240000000000002</v>
      </c>
      <c r="X29" s="255">
        <f>IF(Capaian1!X27&lt;&gt;"",Capaian1!X27,"")</f>
        <v>3.2480000000000002</v>
      </c>
      <c r="Y29" s="255" t="str">
        <f>IF(Capaian1!Y27&lt;&gt;"",Capaian1!Y27,"")</f>
        <v>B</v>
      </c>
      <c r="Z29" s="255">
        <f>IF(Capaian1!Z27&lt;&gt;"",Capaian1!Z27,"")</f>
        <v>3.04</v>
      </c>
      <c r="AA29" s="255">
        <f>IF(Capaian1!AA27&lt;&gt;"",Capaian1!AA27,"")</f>
        <v>3.1180000000000003</v>
      </c>
      <c r="AB29" s="255" t="str">
        <f>IF(Capaian1!AB27&lt;&gt;"",Capaian1!AB27,"")</f>
        <v>B</v>
      </c>
      <c r="AC29" s="255">
        <f>IF(Capaian1!AC27&lt;&gt;"",Capaian1!AC27,"")</f>
        <v>3.1919999999999997</v>
      </c>
      <c r="AD29" s="255">
        <f>IF(Capaian1!AD27&lt;&gt;"",Capaian1!AD27,"")</f>
        <v>3.24</v>
      </c>
      <c r="AE29" s="255" t="str">
        <f>IF(Capaian1!AE27&lt;&gt;"",Capaian1!AE27,"")</f>
        <v>B</v>
      </c>
      <c r="AF29" s="255">
        <f>IF(Capaian1!AF27&lt;&gt;"",Capaian1!AF27,"")</f>
        <v>2.8710000000000004</v>
      </c>
      <c r="AG29" s="255">
        <f>IF(Capaian1!AG27&lt;&gt;"",Capaian1!AG27,"")</f>
        <v>3.05</v>
      </c>
      <c r="AH29" s="255" t="str">
        <f>IF(Capaian1!AH27&lt;&gt;"",Capaian1!AH27,"")</f>
        <v>B</v>
      </c>
      <c r="AI29" s="255">
        <f>IF(Capaian1!AI27&lt;&gt;"",Capaian1!AI27,"")</f>
        <v>3.18</v>
      </c>
      <c r="AJ29" s="255">
        <f>IF(Capaian1!AJ27&lt;&gt;"",Capaian1!AJ27,"")</f>
        <v>3.2480000000000002</v>
      </c>
      <c r="AK29" s="255" t="str">
        <f>IF(Capaian1!AK27&lt;&gt;"",Capaian1!AK27,"")</f>
        <v>B</v>
      </c>
      <c r="AL29" s="255" t="str">
        <f>IF(Capaian1!AL27&lt;&gt;"",Capaian1!AL27,"")</f>
        <v/>
      </c>
      <c r="AM29" s="255" t="str">
        <f>IF(Capaian1!AM27&lt;&gt;"",Capaian1!AM27,"")</f>
        <v/>
      </c>
      <c r="AN29" s="255" t="str">
        <f>IF(Capaian1!AN27&lt;&gt;"",Capaian1!AN27,"")</f>
        <v/>
      </c>
      <c r="AO29" s="255" t="str">
        <f>IF(Capaian1!AO27&lt;&gt;"",Capaian1!AO27,"")</f>
        <v/>
      </c>
      <c r="AP29" s="255" t="str">
        <f>IF(Capaian1!AP27&lt;&gt;"",Capaian1!AP27,"")</f>
        <v/>
      </c>
      <c r="AQ29" s="255" t="str">
        <f>IF(Capaian1!AQ27&lt;&gt;"",Capaian1!AQ27,"")</f>
        <v/>
      </c>
      <c r="AR29" s="255" t="str">
        <f>IF(Capaian1!AR27&lt;&gt;"",Capaian1!AR27,"")</f>
        <v/>
      </c>
      <c r="AS29" s="255" t="str">
        <f>IF(Capaian1!AS27&lt;&gt;"",Capaian1!AS27,"")</f>
        <v/>
      </c>
      <c r="AT29" s="255" t="str">
        <f>IF(Capaian1!AT27&lt;&gt;"",Capaian1!AT27,"")</f>
        <v/>
      </c>
      <c r="AU29" s="255" t="str">
        <f>IF(Capaian1!AU27&lt;&gt;"",Capaian1!AU27,"")</f>
        <v/>
      </c>
      <c r="AV29" s="255" t="str">
        <f>IF(Capaian1!AV27&lt;&gt;"",Capaian1!AV27,"")</f>
        <v/>
      </c>
      <c r="AW29" s="255" t="str">
        <f>IF(Capaian1!AW27&lt;&gt;"",Capaian1!AW27,"")</f>
        <v/>
      </c>
      <c r="AX29" s="255">
        <f>IF(Capaian1!AX27&lt;&gt;"",Capaian1!AX27,"")</f>
        <v>3.04</v>
      </c>
      <c r="AY29" s="255">
        <f>IF(Capaian1!AY27&lt;&gt;"",Capaian1!AY27,"")</f>
        <v>3.32</v>
      </c>
      <c r="AZ29" s="255" t="str">
        <f>IF(Capaian1!AZ27&lt;&gt;"",Capaian1!AZ27,"")</f>
        <v>B</v>
      </c>
      <c r="BA29" s="255">
        <f>IF(Capaian1!BA27&lt;&gt;"",Capaian1!BA27,"")</f>
        <v>3.1294</v>
      </c>
      <c r="BB29" s="255">
        <f>IF(Capaian1!BB27&lt;&gt;"",Capaian1!BB27,"")</f>
        <v>3.2480000000000002</v>
      </c>
      <c r="BC29" s="255" t="str">
        <f>IF(Capaian1!BC27&lt;&gt;"",Capaian1!BC27,"")</f>
        <v>B</v>
      </c>
      <c r="BD29" s="255">
        <f>IF(Capaian1!BD27&lt;&gt;"",Capaian1!BD27,"")</f>
        <v>3.1719999999999997</v>
      </c>
      <c r="BE29" s="255">
        <f>IF(Capaian1!BE27&lt;&gt;"",Capaian1!BE27,"")</f>
        <v>3.1796000000000002</v>
      </c>
      <c r="BF29" s="255" t="str">
        <f>IF(Capaian1!BF27&lt;&gt;"",Capaian1!BF27,"")</f>
        <v>B</v>
      </c>
      <c r="BG29" s="255">
        <f>IF(Capaian1!BG27&lt;&gt;"",Capaian1!BG27,"")</f>
        <v>2.9279999999999999</v>
      </c>
      <c r="BH29" s="255">
        <f>IF(Capaian1!BH27&lt;&gt;"",Capaian1!BH27,"")</f>
        <v>2.88</v>
      </c>
      <c r="BI29" s="255" t="str">
        <f>IF(Capaian1!BI27&lt;&gt;"",Capaian1!BI27,"")</f>
        <v>B</v>
      </c>
      <c r="BJ29" s="255">
        <f>IF(Capaian1!BJ27&lt;&gt;"",Capaian1!BJ27,"")</f>
        <v>2.92</v>
      </c>
      <c r="BK29" s="255">
        <f>IF(Capaian1!BK27&lt;&gt;"",Capaian1!BK27,"")</f>
        <v>2.95</v>
      </c>
      <c r="BL29" s="255" t="str">
        <f>IF(Capaian1!BL27&lt;&gt;"",Capaian1!BL27,"")</f>
        <v>B</v>
      </c>
      <c r="BM29" s="255" t="str">
        <f>IF(Capaian1!BP27&lt;&gt;"",Capaian1!BP27,"")</f>
        <v/>
      </c>
      <c r="BN29" s="255" t="str">
        <f>IF(Capaian1!BQ27&lt;&gt;"",Capaian1!BQ27,"")</f>
        <v/>
      </c>
      <c r="BO29" s="255" t="str">
        <f>IF(Capaian1!BR27&lt;&gt;"",Capaian1!BR27,"")</f>
        <v/>
      </c>
      <c r="BP29" s="255" t="str">
        <f>IF(Capaian1!BS27&lt;&gt;"",Capaian1!BS27,"")</f>
        <v/>
      </c>
      <c r="BQ29" s="255" t="str">
        <f>IF(Capaian1!BT27&lt;&gt;"",Capaian1!BT27,"")</f>
        <v/>
      </c>
      <c r="BR29" s="255" t="str">
        <f>IF(Capaian1!BU27&lt;&gt;"",Capaian1!BU27,"")</f>
        <v/>
      </c>
      <c r="BS29" s="255" t="str">
        <f>IF(Capaian1!BV27&lt;&gt;"",Capaian1!BV27,"")</f>
        <v/>
      </c>
      <c r="BT29" s="255" t="str">
        <f>IF(Capaian1!BW27&lt;&gt;"",Capaian1!BW27,"")</f>
        <v/>
      </c>
      <c r="BU29" s="255" t="str">
        <f>IF(Capaian1!BX27&lt;&gt;"",Capaian1!BX27,"")</f>
        <v/>
      </c>
      <c r="BV29" s="255">
        <f>IF(Capaian1!BM27&lt;&gt;"",Capaian1!BM27,"")</f>
        <v>3.2880000000000003</v>
      </c>
      <c r="BW29" s="255">
        <f>IF(Capaian1!BN27&lt;&gt;"",Capaian1!BN27,"")</f>
        <v>3.242</v>
      </c>
      <c r="BX29" s="255" t="str">
        <f>IF(Capaian1!BO27&lt;&gt;"",Capaian1!BO27,"")</f>
        <v>B</v>
      </c>
      <c r="BY29" s="255" t="str">
        <f>IF(Capaian1!BP27&lt;&gt;"",Capaian1!BP27,"")</f>
        <v/>
      </c>
      <c r="BZ29" s="255" t="str">
        <f>IF(Capaian1!BQ27&lt;&gt;"",Capaian1!BQ27,"")</f>
        <v/>
      </c>
      <c r="CA29" s="255" t="str">
        <f>IF(Capaian1!BR27&lt;&gt;"",Capaian1!BR27,"")</f>
        <v/>
      </c>
      <c r="CB29" s="255" t="str">
        <f>IF(Capaian1!BS27&lt;&gt;"",Capaian1!BS27,"")</f>
        <v/>
      </c>
      <c r="CC29" s="255" t="str">
        <f>IF(Capaian1!BT27&lt;&gt;"",Capaian1!BT27,"")</f>
        <v/>
      </c>
      <c r="CD29" s="255" t="str">
        <f>IF(Capaian1!BU27&lt;&gt;"",Capaian1!BU27,"")</f>
        <v/>
      </c>
      <c r="CE29" s="255" t="str">
        <f>IF(Capaian1!BV27&lt;&gt;"",Capaian1!BV27,"")</f>
        <v/>
      </c>
      <c r="CF29" s="255" t="str">
        <f>IF(Capaian1!BW27&lt;&gt;"",Capaian1!BW27,"")</f>
        <v/>
      </c>
      <c r="CG29" s="255" t="str">
        <f>IF(Capaian1!BX27&lt;&gt;"",Capaian1!BX27,"")</f>
        <v/>
      </c>
      <c r="CH29" s="255" t="str">
        <f>IF(Capaian1!BY27&lt;&gt;"",Capaian1!BY27,"")</f>
        <v/>
      </c>
      <c r="CI29" s="255" t="str">
        <f>IF(Capaian1!BZ27&lt;&gt;"",Capaian1!BZ27,"")</f>
        <v/>
      </c>
      <c r="CJ29" s="255" t="str">
        <f>IF(Capaian1!CA27&lt;&gt;"",Capaian1!CA27,"")</f>
        <v/>
      </c>
      <c r="CK29" s="255" t="str">
        <f>IF(Capaian1!CB27&lt;&gt;"",Capaian1!CB27,"")</f>
        <v/>
      </c>
      <c r="CL29" s="255" t="str">
        <f>IF(Capaian1!CC27&lt;&gt;"",Capaian1!CC27,"")</f>
        <v/>
      </c>
      <c r="CM29" s="255" t="str">
        <f>IF(Capaian1!CD27&lt;&gt;"",Capaian1!CD27,"")</f>
        <v/>
      </c>
      <c r="CN29" s="255" t="str">
        <f>IF(Capaian1!CE27&lt;&gt;"",Capaian1!CE27,"")</f>
        <v/>
      </c>
      <c r="CO29" s="255" t="str">
        <f>IF(Capaian1!CF27&lt;&gt;"",Capaian1!CF27,"")</f>
        <v/>
      </c>
      <c r="CP29" s="255" t="str">
        <f>IF(Capaian1!CG27&lt;&gt;"",Capaian1!CG27,"")</f>
        <v/>
      </c>
      <c r="CQ29" s="255">
        <f>IF(Capaian1!CH27&lt;&gt;"",Capaian1!CH27,"")</f>
        <v>3.5266666666666664</v>
      </c>
      <c r="CR29" s="255">
        <f>IF(Capaian1!CI27&lt;&gt;"",Capaian1!CI27,"")</f>
        <v>3.54</v>
      </c>
      <c r="CS29" s="255" t="str">
        <f>IF(Capaian1!CJ27&lt;&gt;"",Capaian1!CJ27,"")</f>
        <v>B</v>
      </c>
      <c r="CT29" s="255" t="str">
        <f>IF(Capaian1!CK27&lt;&gt;"",Capaian1!CK27,"")</f>
        <v/>
      </c>
      <c r="CU29" s="255" t="str">
        <f>IF(Capaian1!CL27&lt;&gt;"",Capaian1!CL27,"")</f>
        <v/>
      </c>
      <c r="CV29" s="255" t="str">
        <f>IF(Capaian1!CM27&lt;&gt;"",Capaian1!CM27,"")</f>
        <v/>
      </c>
      <c r="CW29" s="255" t="str">
        <f>IF(Capaian1!CN27&lt;&gt;"",Capaian1!CN27,"")</f>
        <v>--</v>
      </c>
      <c r="CX29" s="255" t="str">
        <f>IF(Capaian1!CO27&lt;&gt;"",Capaian1!CO27,"")</f>
        <v/>
      </c>
      <c r="CY29" s="255" t="str">
        <f>IF(Capaian1!CP27&lt;&gt;"",Capaian1!CP27,"")</f>
        <v>FUTSAL</v>
      </c>
      <c r="CZ29" s="255" t="str">
        <f>IF(Capaian1!CQ27&lt;&gt;"",Capaian1!CQ27,"")</f>
        <v>B</v>
      </c>
      <c r="DA29" s="255">
        <f>IF(Capaian1!CR27&lt;&gt;"",Capaian1!CR27,"")</f>
        <v>2</v>
      </c>
      <c r="DB29" s="255">
        <f>IF(Capaian1!CS27&lt;&gt;"",Capaian1!CS27,"")</f>
        <v>0</v>
      </c>
      <c r="DC29" s="255">
        <f>IF(Capaian1!CT27&lt;&gt;"",Capaian1!CT27,"")</f>
        <v>1</v>
      </c>
    </row>
    <row r="30" spans="2:107" s="234" customFormat="1" x14ac:dyDescent="0.25">
      <c r="B30" s="238">
        <v>24</v>
      </c>
      <c r="C30" s="238" t="str">
        <f>Peserta_Didik!D26</f>
        <v>1314.10.130</v>
      </c>
      <c r="D30" s="238" t="str">
        <f>Peserta_Didik!C26</f>
        <v>Muhamad Rifki</v>
      </c>
      <c r="E30" s="255">
        <f>IF(Capaian1!E28&lt;&gt;"",Capaian1!E28,"")</f>
        <v>3.4960000000000004</v>
      </c>
      <c r="F30" s="255">
        <f>IF(Capaian1!F28&lt;&gt;"",Capaian1!F28,"")</f>
        <v>3.58</v>
      </c>
      <c r="G30" s="255" t="str">
        <f>IF(Capaian1!G28&lt;&gt;"",Capaian1!G28,"")</f>
        <v>B</v>
      </c>
      <c r="H30" s="255">
        <f>IF(Capaian1!H28&lt;&gt;"",Capaian1!H28,"")</f>
        <v>3.0720000000000001</v>
      </c>
      <c r="I30" s="255">
        <f>IF(Capaian1!I28&lt;&gt;"",Capaian1!I28,"")</f>
        <v>3.4</v>
      </c>
      <c r="J30" s="255" t="str">
        <f>IF(Capaian1!J28&lt;&gt;"",Capaian1!J28,"")</f>
        <v>B</v>
      </c>
      <c r="K30" s="255">
        <f>IF(Capaian1!K28&lt;&gt;"",Capaian1!K28,"")</f>
        <v>3.3439999999999999</v>
      </c>
      <c r="L30" s="255">
        <f>IF(Capaian1!L28&lt;&gt;"",Capaian1!L28,"")</f>
        <v>3.4</v>
      </c>
      <c r="M30" s="255" t="str">
        <f>IF(Capaian1!M28&lt;&gt;"",Capaian1!M28,"")</f>
        <v>B</v>
      </c>
      <c r="N30" s="255">
        <f>IF(Capaian1!N28&lt;&gt;"",Capaian1!N28,"")</f>
        <v>2.8107142857142855</v>
      </c>
      <c r="O30" s="255">
        <f>IF(Capaian1!O28&lt;&gt;"",Capaian1!O28,"")</f>
        <v>2.905904761904762</v>
      </c>
      <c r="P30" s="255" t="str">
        <f>IF(Capaian1!P28&lt;&gt;"",Capaian1!P28,"")</f>
        <v>B</v>
      </c>
      <c r="Q30" s="255">
        <f>IF(Capaian1!Q28&lt;&gt;"",Capaian1!Q28,"")</f>
        <v>3.2919999999999998</v>
      </c>
      <c r="R30" s="255">
        <f>IF(Capaian1!R28&lt;&gt;"",Capaian1!R28,"")</f>
        <v>3.1533333333333333</v>
      </c>
      <c r="S30" s="255" t="str">
        <f>IF(Capaian1!S28&lt;&gt;"",Capaian1!S28,"")</f>
        <v>B</v>
      </c>
      <c r="T30" s="255">
        <f>IF(Capaian1!T28&lt;&gt;"",Capaian1!T28,"")</f>
        <v>3.2639999999999998</v>
      </c>
      <c r="U30" s="255">
        <f>IF(Capaian1!U28&lt;&gt;"",Capaian1!U28,"")</f>
        <v>3.2239999999999998</v>
      </c>
      <c r="V30" s="255" t="str">
        <f>IF(Capaian1!V28&lt;&gt;"",Capaian1!V28,"")</f>
        <v>B</v>
      </c>
      <c r="W30" s="255">
        <f>IF(Capaian1!W28&lt;&gt;"",Capaian1!W28,"")</f>
        <v>3.2688000000000001</v>
      </c>
      <c r="X30" s="255">
        <f>IF(Capaian1!X28&lt;&gt;"",Capaian1!X28,"")</f>
        <v>3.3160000000000003</v>
      </c>
      <c r="Y30" s="255" t="str">
        <f>IF(Capaian1!Y28&lt;&gt;"",Capaian1!Y28,"")</f>
        <v>B</v>
      </c>
      <c r="Z30" s="255">
        <f>IF(Capaian1!Z28&lt;&gt;"",Capaian1!Z28,"")</f>
        <v>3.04</v>
      </c>
      <c r="AA30" s="255">
        <f>IF(Capaian1!AA28&lt;&gt;"",Capaian1!AA28,"")</f>
        <v>3.3730000000000002</v>
      </c>
      <c r="AB30" s="255" t="str">
        <f>IF(Capaian1!AB28&lt;&gt;"",Capaian1!AB28,"")</f>
        <v>B</v>
      </c>
      <c r="AC30" s="255">
        <f>IF(Capaian1!AC28&lt;&gt;"",Capaian1!AC28,"")</f>
        <v>3.1839999999999997</v>
      </c>
      <c r="AD30" s="255">
        <f>IF(Capaian1!AD28&lt;&gt;"",Capaian1!AD28,"")</f>
        <v>3.26</v>
      </c>
      <c r="AE30" s="255" t="str">
        <f>IF(Capaian1!AE28&lt;&gt;"",Capaian1!AE28,"")</f>
        <v>B</v>
      </c>
      <c r="AF30" s="255">
        <f>IF(Capaian1!AF28&lt;&gt;"",Capaian1!AF28,"")</f>
        <v>2.9489999999999998</v>
      </c>
      <c r="AG30" s="255">
        <f>IF(Capaian1!AG28&lt;&gt;"",Capaian1!AG28,"")</f>
        <v>3</v>
      </c>
      <c r="AH30" s="255" t="str">
        <f>IF(Capaian1!AH28&lt;&gt;"",Capaian1!AH28,"")</f>
        <v>B</v>
      </c>
      <c r="AI30" s="255">
        <f>IF(Capaian1!AI28&lt;&gt;"",Capaian1!AI28,"")</f>
        <v>3.1386000000000003</v>
      </c>
      <c r="AJ30" s="255">
        <f>IF(Capaian1!AJ28&lt;&gt;"",Capaian1!AJ28,"")</f>
        <v>3.2239999999999998</v>
      </c>
      <c r="AK30" s="255" t="str">
        <f>IF(Capaian1!AK28&lt;&gt;"",Capaian1!AK28,"")</f>
        <v>B</v>
      </c>
      <c r="AL30" s="255" t="str">
        <f>IF(Capaian1!AL28&lt;&gt;"",Capaian1!AL28,"")</f>
        <v/>
      </c>
      <c r="AM30" s="255" t="str">
        <f>IF(Capaian1!AM28&lt;&gt;"",Capaian1!AM28,"")</f>
        <v/>
      </c>
      <c r="AN30" s="255" t="str">
        <f>IF(Capaian1!AN28&lt;&gt;"",Capaian1!AN28,"")</f>
        <v/>
      </c>
      <c r="AO30" s="255" t="str">
        <f>IF(Capaian1!AO28&lt;&gt;"",Capaian1!AO28,"")</f>
        <v/>
      </c>
      <c r="AP30" s="255" t="str">
        <f>IF(Capaian1!AP28&lt;&gt;"",Capaian1!AP28,"")</f>
        <v/>
      </c>
      <c r="AQ30" s="255" t="str">
        <f>IF(Capaian1!AQ28&lt;&gt;"",Capaian1!AQ28,"")</f>
        <v/>
      </c>
      <c r="AR30" s="255" t="str">
        <f>IF(Capaian1!AR28&lt;&gt;"",Capaian1!AR28,"")</f>
        <v/>
      </c>
      <c r="AS30" s="255" t="str">
        <f>IF(Capaian1!AS28&lt;&gt;"",Capaian1!AS28,"")</f>
        <v/>
      </c>
      <c r="AT30" s="255" t="str">
        <f>IF(Capaian1!AT28&lt;&gt;"",Capaian1!AT28,"")</f>
        <v/>
      </c>
      <c r="AU30" s="255" t="str">
        <f>IF(Capaian1!AU28&lt;&gt;"",Capaian1!AU28,"")</f>
        <v/>
      </c>
      <c r="AV30" s="255" t="str">
        <f>IF(Capaian1!AV28&lt;&gt;"",Capaian1!AV28,"")</f>
        <v/>
      </c>
      <c r="AW30" s="255" t="str">
        <f>IF(Capaian1!AW28&lt;&gt;"",Capaian1!AW28,"")</f>
        <v/>
      </c>
      <c r="AX30" s="255">
        <f>IF(Capaian1!AX28&lt;&gt;"",Capaian1!AX28,"")</f>
        <v>3.0720000000000001</v>
      </c>
      <c r="AY30" s="255">
        <f>IF(Capaian1!AY28&lt;&gt;"",Capaian1!AY28,"")</f>
        <v>3.4</v>
      </c>
      <c r="AZ30" s="255" t="str">
        <f>IF(Capaian1!AZ28&lt;&gt;"",Capaian1!AZ28,"")</f>
        <v>B</v>
      </c>
      <c r="BA30" s="255">
        <f>IF(Capaian1!BA28&lt;&gt;"",Capaian1!BA28,"")</f>
        <v>3.2279999999999998</v>
      </c>
      <c r="BB30" s="255">
        <f>IF(Capaian1!BB28&lt;&gt;"",Capaian1!BB28,"")</f>
        <v>3.2080000000000002</v>
      </c>
      <c r="BC30" s="255" t="str">
        <f>IF(Capaian1!BC28&lt;&gt;"",Capaian1!BC28,"")</f>
        <v>B</v>
      </c>
      <c r="BD30" s="255">
        <f>IF(Capaian1!BD28&lt;&gt;"",Capaian1!BD28,"")</f>
        <v>3.222</v>
      </c>
      <c r="BE30" s="255">
        <f>IF(Capaian1!BE28&lt;&gt;"",Capaian1!BE28,"")</f>
        <v>3.2827999999999999</v>
      </c>
      <c r="BF30" s="255" t="str">
        <f>IF(Capaian1!BF28&lt;&gt;"",Capaian1!BF28,"")</f>
        <v>B</v>
      </c>
      <c r="BG30" s="255">
        <f>IF(Capaian1!BG28&lt;&gt;"",Capaian1!BG28,"")</f>
        <v>2.9973333333333336</v>
      </c>
      <c r="BH30" s="255">
        <f>IF(Capaian1!BH28&lt;&gt;"",Capaian1!BH28,"")</f>
        <v>3.0133333333333336</v>
      </c>
      <c r="BI30" s="255" t="str">
        <f>IF(Capaian1!BI28&lt;&gt;"",Capaian1!BI28,"")</f>
        <v>B</v>
      </c>
      <c r="BJ30" s="255">
        <f>IF(Capaian1!BJ28&lt;&gt;"",Capaian1!BJ28,"")</f>
        <v>2.92</v>
      </c>
      <c r="BK30" s="255">
        <f>IF(Capaian1!BK28&lt;&gt;"",Capaian1!BK28,"")</f>
        <v>3.25</v>
      </c>
      <c r="BL30" s="255" t="str">
        <f>IF(Capaian1!BL28&lt;&gt;"",Capaian1!BL28,"")</f>
        <v>B</v>
      </c>
      <c r="BM30" s="255" t="str">
        <f>IF(Capaian1!BP28&lt;&gt;"",Capaian1!BP28,"")</f>
        <v/>
      </c>
      <c r="BN30" s="255" t="str">
        <f>IF(Capaian1!BQ28&lt;&gt;"",Capaian1!BQ28,"")</f>
        <v/>
      </c>
      <c r="BO30" s="255" t="str">
        <f>IF(Capaian1!BR28&lt;&gt;"",Capaian1!BR28,"")</f>
        <v/>
      </c>
      <c r="BP30" s="255" t="str">
        <f>IF(Capaian1!BS28&lt;&gt;"",Capaian1!BS28,"")</f>
        <v/>
      </c>
      <c r="BQ30" s="255" t="str">
        <f>IF(Capaian1!BT28&lt;&gt;"",Capaian1!BT28,"")</f>
        <v/>
      </c>
      <c r="BR30" s="255" t="str">
        <f>IF(Capaian1!BU28&lt;&gt;"",Capaian1!BU28,"")</f>
        <v/>
      </c>
      <c r="BS30" s="255" t="str">
        <f>IF(Capaian1!BV28&lt;&gt;"",Capaian1!BV28,"")</f>
        <v/>
      </c>
      <c r="BT30" s="255" t="str">
        <f>IF(Capaian1!BW28&lt;&gt;"",Capaian1!BW28,"")</f>
        <v/>
      </c>
      <c r="BU30" s="255" t="str">
        <f>IF(Capaian1!BX28&lt;&gt;"",Capaian1!BX28,"")</f>
        <v/>
      </c>
      <c r="BV30" s="255">
        <f>IF(Capaian1!BM28&lt;&gt;"",Capaian1!BM28,"")</f>
        <v>3.2879999999999994</v>
      </c>
      <c r="BW30" s="255">
        <f>IF(Capaian1!BN28&lt;&gt;"",Capaian1!BN28,"")</f>
        <v>3.2160000000000002</v>
      </c>
      <c r="BX30" s="255" t="str">
        <f>IF(Capaian1!BO28&lt;&gt;"",Capaian1!BO28,"")</f>
        <v>B</v>
      </c>
      <c r="BY30" s="255" t="str">
        <f>IF(Capaian1!BP28&lt;&gt;"",Capaian1!BP28,"")</f>
        <v/>
      </c>
      <c r="BZ30" s="255" t="str">
        <f>IF(Capaian1!BQ28&lt;&gt;"",Capaian1!BQ28,"")</f>
        <v/>
      </c>
      <c r="CA30" s="255" t="str">
        <f>IF(Capaian1!BR28&lt;&gt;"",Capaian1!BR28,"")</f>
        <v/>
      </c>
      <c r="CB30" s="255" t="str">
        <f>IF(Capaian1!BS28&lt;&gt;"",Capaian1!BS28,"")</f>
        <v/>
      </c>
      <c r="CC30" s="255" t="str">
        <f>IF(Capaian1!BT28&lt;&gt;"",Capaian1!BT28,"")</f>
        <v/>
      </c>
      <c r="CD30" s="255" t="str">
        <f>IF(Capaian1!BU28&lt;&gt;"",Capaian1!BU28,"")</f>
        <v/>
      </c>
      <c r="CE30" s="255" t="str">
        <f>IF(Capaian1!BV28&lt;&gt;"",Capaian1!BV28,"")</f>
        <v/>
      </c>
      <c r="CF30" s="255" t="str">
        <f>IF(Capaian1!BW28&lt;&gt;"",Capaian1!BW28,"")</f>
        <v/>
      </c>
      <c r="CG30" s="255" t="str">
        <f>IF(Capaian1!BX28&lt;&gt;"",Capaian1!BX28,"")</f>
        <v/>
      </c>
      <c r="CH30" s="255" t="str">
        <f>IF(Capaian1!BY28&lt;&gt;"",Capaian1!BY28,"")</f>
        <v/>
      </c>
      <c r="CI30" s="255" t="str">
        <f>IF(Capaian1!BZ28&lt;&gt;"",Capaian1!BZ28,"")</f>
        <v/>
      </c>
      <c r="CJ30" s="255" t="str">
        <f>IF(Capaian1!CA28&lt;&gt;"",Capaian1!CA28,"")</f>
        <v/>
      </c>
      <c r="CK30" s="255" t="str">
        <f>IF(Capaian1!CB28&lt;&gt;"",Capaian1!CB28,"")</f>
        <v/>
      </c>
      <c r="CL30" s="255" t="str">
        <f>IF(Capaian1!CC28&lt;&gt;"",Capaian1!CC28,"")</f>
        <v/>
      </c>
      <c r="CM30" s="255" t="str">
        <f>IF(Capaian1!CD28&lt;&gt;"",Capaian1!CD28,"")</f>
        <v/>
      </c>
      <c r="CN30" s="255" t="str">
        <f>IF(Capaian1!CE28&lt;&gt;"",Capaian1!CE28,"")</f>
        <v/>
      </c>
      <c r="CO30" s="255" t="str">
        <f>IF(Capaian1!CF28&lt;&gt;"",Capaian1!CF28,"")</f>
        <v/>
      </c>
      <c r="CP30" s="255" t="str">
        <f>IF(Capaian1!CG28&lt;&gt;"",Capaian1!CG28,"")</f>
        <v/>
      </c>
      <c r="CQ30" s="255">
        <f>IF(Capaian1!CH28&lt;&gt;"",Capaian1!CH28,"")</f>
        <v>3.5333333333333337</v>
      </c>
      <c r="CR30" s="255">
        <f>IF(Capaian1!CI28&lt;&gt;"",Capaian1!CI28,"")</f>
        <v>3.54</v>
      </c>
      <c r="CS30" s="255" t="str">
        <f>IF(Capaian1!CJ28&lt;&gt;"",Capaian1!CJ28,"")</f>
        <v>B</v>
      </c>
      <c r="CT30" s="255" t="str">
        <f>IF(Capaian1!CK28&lt;&gt;"",Capaian1!CK28,"")</f>
        <v/>
      </c>
      <c r="CU30" s="255" t="str">
        <f>IF(Capaian1!CL28&lt;&gt;"",Capaian1!CL28,"")</f>
        <v/>
      </c>
      <c r="CV30" s="255" t="str">
        <f>IF(Capaian1!CM28&lt;&gt;"",Capaian1!CM28,"")</f>
        <v/>
      </c>
      <c r="CW30" s="255" t="str">
        <f>IF(Capaian1!CN28&lt;&gt;"",Capaian1!CN28,"")</f>
        <v>--</v>
      </c>
      <c r="CX30" s="255" t="str">
        <f>IF(Capaian1!CO28&lt;&gt;"",Capaian1!CO28,"")</f>
        <v/>
      </c>
      <c r="CY30" s="255" t="str">
        <f>IF(Capaian1!CP28&lt;&gt;"",Capaian1!CP28,"")</f>
        <v>FUTSAL</v>
      </c>
      <c r="CZ30" s="255" t="str">
        <f>IF(Capaian1!CQ28&lt;&gt;"",Capaian1!CQ28,"")</f>
        <v>B</v>
      </c>
      <c r="DA30" s="255">
        <f>IF(Capaian1!CR28&lt;&gt;"",Capaian1!CR28,"")</f>
        <v>2</v>
      </c>
      <c r="DB30" s="255">
        <f>IF(Capaian1!CS28&lt;&gt;"",Capaian1!CS28,"")</f>
        <v>0</v>
      </c>
      <c r="DC30" s="255">
        <f>IF(Capaian1!CT28&lt;&gt;"",Capaian1!CT28,"")</f>
        <v>1</v>
      </c>
    </row>
    <row r="31" spans="2:107" s="234" customFormat="1" x14ac:dyDescent="0.25">
      <c r="B31" s="238">
        <v>25</v>
      </c>
      <c r="C31" s="238" t="str">
        <f>Peserta_Didik!D27</f>
        <v>1314.10.131</v>
      </c>
      <c r="D31" s="238" t="str">
        <f>Peserta_Didik!C27</f>
        <v>Muhammad Azka Ramadhan</v>
      </c>
      <c r="E31" s="255">
        <f>IF(Capaian1!E29&lt;&gt;"",Capaian1!E29,"")</f>
        <v>3.1680000000000001</v>
      </c>
      <c r="F31" s="255">
        <f>IF(Capaian1!F29&lt;&gt;"",Capaian1!F29,"")</f>
        <v>3.32</v>
      </c>
      <c r="G31" s="255" t="str">
        <f>IF(Capaian1!G29&lt;&gt;"",Capaian1!G29,"")</f>
        <v>B</v>
      </c>
      <c r="H31" s="255">
        <f>IF(Capaian1!H29&lt;&gt;"",Capaian1!H29,"")</f>
        <v>3.0880000000000001</v>
      </c>
      <c r="I31" s="255">
        <f>IF(Capaian1!I29&lt;&gt;"",Capaian1!I29,"")</f>
        <v>3.35</v>
      </c>
      <c r="J31" s="255" t="str">
        <f>IF(Capaian1!J29&lt;&gt;"",Capaian1!J29,"")</f>
        <v>B</v>
      </c>
      <c r="K31" s="255">
        <f>IF(Capaian1!K29&lt;&gt;"",Capaian1!K29,"")</f>
        <v>3.0960000000000001</v>
      </c>
      <c r="L31" s="255">
        <f>IF(Capaian1!L29&lt;&gt;"",Capaian1!L29,"")</f>
        <v>3.2</v>
      </c>
      <c r="M31" s="255" t="str">
        <f>IF(Capaian1!M29&lt;&gt;"",Capaian1!M29,"")</f>
        <v>B</v>
      </c>
      <c r="N31" s="255">
        <f>IF(Capaian1!N29&lt;&gt;"",Capaian1!N29,"")</f>
        <v>2.5114285714285716</v>
      </c>
      <c r="O31" s="255">
        <f>IF(Capaian1!O29&lt;&gt;"",Capaian1!O29,"")</f>
        <v>2.5611428571428569</v>
      </c>
      <c r="P31" s="255" t="str">
        <f>IF(Capaian1!P29&lt;&gt;"",Capaian1!P29,"")</f>
        <v>B</v>
      </c>
      <c r="Q31" s="255">
        <f>IF(Capaian1!Q29&lt;&gt;"",Capaian1!Q29,"")</f>
        <v>3.3213333333333335</v>
      </c>
      <c r="R31" s="255">
        <f>IF(Capaian1!R29&lt;&gt;"",Capaian1!R29,"")</f>
        <v>3.44</v>
      </c>
      <c r="S31" s="255" t="str">
        <f>IF(Capaian1!S29&lt;&gt;"",Capaian1!S29,"")</f>
        <v>B</v>
      </c>
      <c r="T31" s="255">
        <f>IF(Capaian1!T29&lt;&gt;"",Capaian1!T29,"")</f>
        <v>3.2639999999999998</v>
      </c>
      <c r="U31" s="255">
        <f>IF(Capaian1!U29&lt;&gt;"",Capaian1!U29,"")</f>
        <v>3.2239999999999998</v>
      </c>
      <c r="V31" s="255" t="str">
        <f>IF(Capaian1!V29&lt;&gt;"",Capaian1!V29,"")</f>
        <v>B</v>
      </c>
      <c r="W31" s="255">
        <f>IF(Capaian1!W29&lt;&gt;"",Capaian1!W29,"")</f>
        <v>3.2655999999999996</v>
      </c>
      <c r="X31" s="255">
        <f>IF(Capaian1!X29&lt;&gt;"",Capaian1!X29,"")</f>
        <v>3.2760000000000002</v>
      </c>
      <c r="Y31" s="255" t="str">
        <f>IF(Capaian1!Y29&lt;&gt;"",Capaian1!Y29,"")</f>
        <v>B</v>
      </c>
      <c r="Z31" s="255">
        <f>IF(Capaian1!Z29&lt;&gt;"",Capaian1!Z29,"")</f>
        <v>3.2</v>
      </c>
      <c r="AA31" s="255">
        <f>IF(Capaian1!AA29&lt;&gt;"",Capaian1!AA29,"")</f>
        <v>3.1180000000000003</v>
      </c>
      <c r="AB31" s="255" t="str">
        <f>IF(Capaian1!AB29&lt;&gt;"",Capaian1!AB29,"")</f>
        <v>B</v>
      </c>
      <c r="AC31" s="255">
        <f>IF(Capaian1!AC29&lt;&gt;"",Capaian1!AC29,"")</f>
        <v>3.1919999999999997</v>
      </c>
      <c r="AD31" s="255">
        <f>IF(Capaian1!AD29&lt;&gt;"",Capaian1!AD29,"")</f>
        <v>3.24</v>
      </c>
      <c r="AE31" s="255" t="str">
        <f>IF(Capaian1!AE29&lt;&gt;"",Capaian1!AE29,"")</f>
        <v>B</v>
      </c>
      <c r="AF31" s="255">
        <f>IF(Capaian1!AF29&lt;&gt;"",Capaian1!AF29,"")</f>
        <v>2.8710000000000004</v>
      </c>
      <c r="AG31" s="255">
        <f>IF(Capaian1!AG29&lt;&gt;"",Capaian1!AG29,"")</f>
        <v>3</v>
      </c>
      <c r="AH31" s="255" t="str">
        <f>IF(Capaian1!AH29&lt;&gt;"",Capaian1!AH29,"")</f>
        <v>B</v>
      </c>
      <c r="AI31" s="255">
        <f>IF(Capaian1!AI29&lt;&gt;"",Capaian1!AI29,"")</f>
        <v>3.1225999999999998</v>
      </c>
      <c r="AJ31" s="255">
        <f>IF(Capaian1!AJ29&lt;&gt;"",Capaian1!AJ29,"")</f>
        <v>3.1280000000000001</v>
      </c>
      <c r="AK31" s="255" t="str">
        <f>IF(Capaian1!AK29&lt;&gt;"",Capaian1!AK29,"")</f>
        <v>B</v>
      </c>
      <c r="AL31" s="255" t="str">
        <f>IF(Capaian1!AL29&lt;&gt;"",Capaian1!AL29,"")</f>
        <v/>
      </c>
      <c r="AM31" s="255" t="str">
        <f>IF(Capaian1!AM29&lt;&gt;"",Capaian1!AM29,"")</f>
        <v/>
      </c>
      <c r="AN31" s="255" t="str">
        <f>IF(Capaian1!AN29&lt;&gt;"",Capaian1!AN29,"")</f>
        <v/>
      </c>
      <c r="AO31" s="255" t="str">
        <f>IF(Capaian1!AO29&lt;&gt;"",Capaian1!AO29,"")</f>
        <v/>
      </c>
      <c r="AP31" s="255" t="str">
        <f>IF(Capaian1!AP29&lt;&gt;"",Capaian1!AP29,"")</f>
        <v/>
      </c>
      <c r="AQ31" s="255" t="str">
        <f>IF(Capaian1!AQ29&lt;&gt;"",Capaian1!AQ29,"")</f>
        <v/>
      </c>
      <c r="AR31" s="255" t="str">
        <f>IF(Capaian1!AR29&lt;&gt;"",Capaian1!AR29,"")</f>
        <v/>
      </c>
      <c r="AS31" s="255" t="str">
        <f>IF(Capaian1!AS29&lt;&gt;"",Capaian1!AS29,"")</f>
        <v/>
      </c>
      <c r="AT31" s="255" t="str">
        <f>IF(Capaian1!AT29&lt;&gt;"",Capaian1!AT29,"")</f>
        <v/>
      </c>
      <c r="AU31" s="255" t="str">
        <f>IF(Capaian1!AU29&lt;&gt;"",Capaian1!AU29,"")</f>
        <v/>
      </c>
      <c r="AV31" s="255" t="str">
        <f>IF(Capaian1!AV29&lt;&gt;"",Capaian1!AV29,"")</f>
        <v/>
      </c>
      <c r="AW31" s="255" t="str">
        <f>IF(Capaian1!AW29&lt;&gt;"",Capaian1!AW29,"")</f>
        <v/>
      </c>
      <c r="AX31" s="255">
        <f>IF(Capaian1!AX29&lt;&gt;"",Capaian1!AX29,"")</f>
        <v>3.0880000000000001</v>
      </c>
      <c r="AY31" s="255">
        <f>IF(Capaian1!AY29&lt;&gt;"",Capaian1!AY29,"")</f>
        <v>3.35</v>
      </c>
      <c r="AZ31" s="255" t="str">
        <f>IF(Capaian1!AZ29&lt;&gt;"",Capaian1!AZ29,"")</f>
        <v>B</v>
      </c>
      <c r="BA31" s="255">
        <f>IF(Capaian1!BA29&lt;&gt;"",Capaian1!BA29,"")</f>
        <v>3.0920000000000001</v>
      </c>
      <c r="BB31" s="255">
        <f>IF(Capaian1!BB29&lt;&gt;"",Capaian1!BB29,"")</f>
        <v>3.1839999999999997</v>
      </c>
      <c r="BC31" s="255" t="str">
        <f>IF(Capaian1!BC29&lt;&gt;"",Capaian1!BC29,"")</f>
        <v>B</v>
      </c>
      <c r="BD31" s="255">
        <f>IF(Capaian1!BD29&lt;&gt;"",Capaian1!BD29,"")</f>
        <v>3.218</v>
      </c>
      <c r="BE31" s="255">
        <f>IF(Capaian1!BE29&lt;&gt;"",Capaian1!BE29,"")</f>
        <v>3.2563999999999997</v>
      </c>
      <c r="BF31" s="255" t="str">
        <f>IF(Capaian1!BF29&lt;&gt;"",Capaian1!BF29,"")</f>
        <v>B</v>
      </c>
      <c r="BG31" s="255">
        <f>IF(Capaian1!BG29&lt;&gt;"",Capaian1!BG29,"")</f>
        <v>2.9279999999999999</v>
      </c>
      <c r="BH31" s="255">
        <f>IF(Capaian1!BH29&lt;&gt;"",Capaian1!BH29,"")</f>
        <v>2.68</v>
      </c>
      <c r="BI31" s="255" t="str">
        <f>IF(Capaian1!BI29&lt;&gt;"",Capaian1!BI29,"")</f>
        <v>B</v>
      </c>
      <c r="BJ31" s="255">
        <f>IF(Capaian1!BJ29&lt;&gt;"",Capaian1!BJ29,"")</f>
        <v>2.76</v>
      </c>
      <c r="BK31" s="255">
        <f>IF(Capaian1!BK29&lt;&gt;"",Capaian1!BK29,"")</f>
        <v>2.85</v>
      </c>
      <c r="BL31" s="255" t="str">
        <f>IF(Capaian1!BL29&lt;&gt;"",Capaian1!BL29,"")</f>
        <v>B</v>
      </c>
      <c r="BM31" s="255" t="str">
        <f>IF(Capaian1!BP29&lt;&gt;"",Capaian1!BP29,"")</f>
        <v/>
      </c>
      <c r="BN31" s="255" t="str">
        <f>IF(Capaian1!BQ29&lt;&gt;"",Capaian1!BQ29,"")</f>
        <v/>
      </c>
      <c r="BO31" s="255" t="str">
        <f>IF(Capaian1!BR29&lt;&gt;"",Capaian1!BR29,"")</f>
        <v/>
      </c>
      <c r="BP31" s="255" t="str">
        <f>IF(Capaian1!BS29&lt;&gt;"",Capaian1!BS29,"")</f>
        <v/>
      </c>
      <c r="BQ31" s="255" t="str">
        <f>IF(Capaian1!BT29&lt;&gt;"",Capaian1!BT29,"")</f>
        <v/>
      </c>
      <c r="BR31" s="255" t="str">
        <f>IF(Capaian1!BU29&lt;&gt;"",Capaian1!BU29,"")</f>
        <v/>
      </c>
      <c r="BS31" s="255" t="str">
        <f>IF(Capaian1!BV29&lt;&gt;"",Capaian1!BV29,"")</f>
        <v/>
      </c>
      <c r="BT31" s="255" t="str">
        <f>IF(Capaian1!BW29&lt;&gt;"",Capaian1!BW29,"")</f>
        <v/>
      </c>
      <c r="BU31" s="255" t="str">
        <f>IF(Capaian1!BX29&lt;&gt;"",Capaian1!BX29,"")</f>
        <v/>
      </c>
      <c r="BV31" s="255">
        <f>IF(Capaian1!BM29&lt;&gt;"",Capaian1!BM29,"")</f>
        <v>3.2880000000000003</v>
      </c>
      <c r="BW31" s="255">
        <f>IF(Capaian1!BN29&lt;&gt;"",Capaian1!BN29,"")</f>
        <v>3.1880000000000002</v>
      </c>
      <c r="BX31" s="255" t="str">
        <f>IF(Capaian1!BO29&lt;&gt;"",Capaian1!BO29,"")</f>
        <v>B</v>
      </c>
      <c r="BY31" s="255" t="str">
        <f>IF(Capaian1!BP29&lt;&gt;"",Capaian1!BP29,"")</f>
        <v/>
      </c>
      <c r="BZ31" s="255" t="str">
        <f>IF(Capaian1!BQ29&lt;&gt;"",Capaian1!BQ29,"")</f>
        <v/>
      </c>
      <c r="CA31" s="255" t="str">
        <f>IF(Capaian1!BR29&lt;&gt;"",Capaian1!BR29,"")</f>
        <v/>
      </c>
      <c r="CB31" s="255" t="str">
        <f>IF(Capaian1!BS29&lt;&gt;"",Capaian1!BS29,"")</f>
        <v/>
      </c>
      <c r="CC31" s="255" t="str">
        <f>IF(Capaian1!BT29&lt;&gt;"",Capaian1!BT29,"")</f>
        <v/>
      </c>
      <c r="CD31" s="255" t="str">
        <f>IF(Capaian1!BU29&lt;&gt;"",Capaian1!BU29,"")</f>
        <v/>
      </c>
      <c r="CE31" s="255" t="str">
        <f>IF(Capaian1!BV29&lt;&gt;"",Capaian1!BV29,"")</f>
        <v/>
      </c>
      <c r="CF31" s="255" t="str">
        <f>IF(Capaian1!BW29&lt;&gt;"",Capaian1!BW29,"")</f>
        <v/>
      </c>
      <c r="CG31" s="255" t="str">
        <f>IF(Capaian1!BX29&lt;&gt;"",Capaian1!BX29,"")</f>
        <v/>
      </c>
      <c r="CH31" s="255" t="str">
        <f>IF(Capaian1!BY29&lt;&gt;"",Capaian1!BY29,"")</f>
        <v/>
      </c>
      <c r="CI31" s="255" t="str">
        <f>IF(Capaian1!BZ29&lt;&gt;"",Capaian1!BZ29,"")</f>
        <v/>
      </c>
      <c r="CJ31" s="255" t="str">
        <f>IF(Capaian1!CA29&lt;&gt;"",Capaian1!CA29,"")</f>
        <v/>
      </c>
      <c r="CK31" s="255" t="str">
        <f>IF(Capaian1!CB29&lt;&gt;"",Capaian1!CB29,"")</f>
        <v/>
      </c>
      <c r="CL31" s="255" t="str">
        <f>IF(Capaian1!CC29&lt;&gt;"",Capaian1!CC29,"")</f>
        <v/>
      </c>
      <c r="CM31" s="255" t="str">
        <f>IF(Capaian1!CD29&lt;&gt;"",Capaian1!CD29,"")</f>
        <v/>
      </c>
      <c r="CN31" s="255" t="str">
        <f>IF(Capaian1!CE29&lt;&gt;"",Capaian1!CE29,"")</f>
        <v/>
      </c>
      <c r="CO31" s="255" t="str">
        <f>IF(Capaian1!CF29&lt;&gt;"",Capaian1!CF29,"")</f>
        <v/>
      </c>
      <c r="CP31" s="255" t="str">
        <f>IF(Capaian1!CG29&lt;&gt;"",Capaian1!CG29,"")</f>
        <v/>
      </c>
      <c r="CQ31" s="255">
        <f>IF(Capaian1!CH29&lt;&gt;"",Capaian1!CH29,"")</f>
        <v>3.5333333333333337</v>
      </c>
      <c r="CR31" s="255">
        <f>IF(Capaian1!CI29&lt;&gt;"",Capaian1!CI29,"")</f>
        <v>3.5</v>
      </c>
      <c r="CS31" s="255" t="str">
        <f>IF(Capaian1!CJ29&lt;&gt;"",Capaian1!CJ29,"")</f>
        <v>B</v>
      </c>
      <c r="CT31" s="255" t="str">
        <f>IF(Capaian1!CK29&lt;&gt;"",Capaian1!CK29,"")</f>
        <v/>
      </c>
      <c r="CU31" s="255" t="str">
        <f>IF(Capaian1!CL29&lt;&gt;"",Capaian1!CL29,"")</f>
        <v/>
      </c>
      <c r="CV31" s="255" t="str">
        <f>IF(Capaian1!CM29&lt;&gt;"",Capaian1!CM29,"")</f>
        <v/>
      </c>
      <c r="CW31" s="255" t="str">
        <f>IF(Capaian1!CN29&lt;&gt;"",Capaian1!CN29,"")</f>
        <v>--</v>
      </c>
      <c r="CX31" s="255" t="str">
        <f>IF(Capaian1!CO29&lt;&gt;"",Capaian1!CO29,"")</f>
        <v/>
      </c>
      <c r="CY31" s="255" t="str">
        <f>IF(Capaian1!CP29&lt;&gt;"",Capaian1!CP29,"")</f>
        <v>--</v>
      </c>
      <c r="CZ31" s="255" t="str">
        <f>IF(Capaian1!CQ29&lt;&gt;"",Capaian1!CQ29,"")</f>
        <v/>
      </c>
      <c r="DA31" s="255">
        <f>IF(Capaian1!CR29&lt;&gt;"",Capaian1!CR29,"")</f>
        <v>3</v>
      </c>
      <c r="DB31" s="255">
        <f>IF(Capaian1!CS29&lt;&gt;"",Capaian1!CS29,"")</f>
        <v>6</v>
      </c>
      <c r="DC31" s="255">
        <f>IF(Capaian1!CT29&lt;&gt;"",Capaian1!CT29,"")</f>
        <v>4</v>
      </c>
    </row>
    <row r="32" spans="2:107" s="234" customFormat="1" x14ac:dyDescent="0.25">
      <c r="B32" s="238">
        <v>26</v>
      </c>
      <c r="C32" s="238" t="str">
        <f>Peserta_Didik!D28</f>
        <v>1314.10.132</v>
      </c>
      <c r="D32" s="238" t="str">
        <f>Peserta_Didik!C28</f>
        <v>Muhammad Rizky Adrian</v>
      </c>
      <c r="E32" s="255">
        <f>IF(Capaian1!E30&lt;&gt;"",Capaian1!E30,"")</f>
        <v>3.1280000000000001</v>
      </c>
      <c r="F32" s="255">
        <f>IF(Capaian1!F30&lt;&gt;"",Capaian1!F30,"")</f>
        <v>3.18</v>
      </c>
      <c r="G32" s="255" t="str">
        <f>IF(Capaian1!G30&lt;&gt;"",Capaian1!G30,"")</f>
        <v>B</v>
      </c>
      <c r="H32" s="255">
        <f>IF(Capaian1!H30&lt;&gt;"",Capaian1!H30,"")</f>
        <v>3.0720000000000001</v>
      </c>
      <c r="I32" s="255">
        <f>IF(Capaian1!I30&lt;&gt;"",Capaian1!I30,"")</f>
        <v>3.35</v>
      </c>
      <c r="J32" s="255" t="str">
        <f>IF(Capaian1!J30&lt;&gt;"",Capaian1!J30,"")</f>
        <v>B</v>
      </c>
      <c r="K32" s="255">
        <f>IF(Capaian1!K30&lt;&gt;"",Capaian1!K30,"")</f>
        <v>3.3439999999999999</v>
      </c>
      <c r="L32" s="255">
        <f>IF(Capaian1!L30&lt;&gt;"",Capaian1!L30,"")</f>
        <v>3.2</v>
      </c>
      <c r="M32" s="255" t="str">
        <f>IF(Capaian1!M30&lt;&gt;"",Capaian1!M30,"")</f>
        <v>B</v>
      </c>
      <c r="N32" s="255">
        <f>IF(Capaian1!N30&lt;&gt;"",Capaian1!N30,"")</f>
        <v>2.9035714285714289</v>
      </c>
      <c r="O32" s="255">
        <f>IF(Capaian1!O30&lt;&gt;"",Capaian1!O30,"")</f>
        <v>3.0468571428571432</v>
      </c>
      <c r="P32" s="255" t="str">
        <f>IF(Capaian1!P30&lt;&gt;"",Capaian1!P30,"")</f>
        <v>B</v>
      </c>
      <c r="Q32" s="255">
        <f>IF(Capaian1!Q30&lt;&gt;"",Capaian1!Q30,"")</f>
        <v>3.4346666666666663</v>
      </c>
      <c r="R32" s="255">
        <f>IF(Capaian1!R30&lt;&gt;"",Capaian1!R30,"")</f>
        <v>3.3</v>
      </c>
      <c r="S32" s="255" t="str">
        <f>IF(Capaian1!S30&lt;&gt;"",Capaian1!S30,"")</f>
        <v>B</v>
      </c>
      <c r="T32" s="255">
        <f>IF(Capaian1!T30&lt;&gt;"",Capaian1!T30,"")</f>
        <v>3.2639999999999998</v>
      </c>
      <c r="U32" s="255">
        <f>IF(Capaian1!U30&lt;&gt;"",Capaian1!U30,"")</f>
        <v>3.2239999999999998</v>
      </c>
      <c r="V32" s="255" t="str">
        <f>IF(Capaian1!V30&lt;&gt;"",Capaian1!V30,"")</f>
        <v>B</v>
      </c>
      <c r="W32" s="255">
        <f>IF(Capaian1!W30&lt;&gt;"",Capaian1!W30,"")</f>
        <v>3.2240000000000002</v>
      </c>
      <c r="X32" s="255">
        <f>IF(Capaian1!X30&lt;&gt;"",Capaian1!X30,"")</f>
        <v>3.2480000000000002</v>
      </c>
      <c r="Y32" s="255" t="str">
        <f>IF(Capaian1!Y30&lt;&gt;"",Capaian1!Y30,"")</f>
        <v>B</v>
      </c>
      <c r="Z32" s="255">
        <f>IF(Capaian1!Z30&lt;&gt;"",Capaian1!Z30,"")</f>
        <v>3.2</v>
      </c>
      <c r="AA32" s="255">
        <f>IF(Capaian1!AA30&lt;&gt;"",Capaian1!AA30,"")</f>
        <v>3.38</v>
      </c>
      <c r="AB32" s="255" t="str">
        <f>IF(Capaian1!AB30&lt;&gt;"",Capaian1!AB30,"")</f>
        <v>B</v>
      </c>
      <c r="AC32" s="255">
        <f>IF(Capaian1!AC30&lt;&gt;"",Capaian1!AC30,"")</f>
        <v>3.24</v>
      </c>
      <c r="AD32" s="255">
        <f>IF(Capaian1!AD30&lt;&gt;"",Capaian1!AD30,"")</f>
        <v>3.28</v>
      </c>
      <c r="AE32" s="255" t="str">
        <f>IF(Capaian1!AE30&lt;&gt;"",Capaian1!AE30,"")</f>
        <v>B</v>
      </c>
      <c r="AF32" s="255">
        <f>IF(Capaian1!AF30&lt;&gt;"",Capaian1!AF30,"")</f>
        <v>2.9360000000000004</v>
      </c>
      <c r="AG32" s="255">
        <f>IF(Capaian1!AG30&lt;&gt;"",Capaian1!AG30,"")</f>
        <v>3.07</v>
      </c>
      <c r="AH32" s="255" t="str">
        <f>IF(Capaian1!AH30&lt;&gt;"",Capaian1!AH30,"")</f>
        <v>B</v>
      </c>
      <c r="AI32" s="255">
        <f>IF(Capaian1!AI30&lt;&gt;"",Capaian1!AI30,"")</f>
        <v>3.12</v>
      </c>
      <c r="AJ32" s="255">
        <f>IF(Capaian1!AJ30&lt;&gt;"",Capaian1!AJ30,"")</f>
        <v>3.1680000000000001</v>
      </c>
      <c r="AK32" s="255" t="str">
        <f>IF(Capaian1!AK30&lt;&gt;"",Capaian1!AK30,"")</f>
        <v>B</v>
      </c>
      <c r="AL32" s="255" t="str">
        <f>IF(Capaian1!AL30&lt;&gt;"",Capaian1!AL30,"")</f>
        <v/>
      </c>
      <c r="AM32" s="255" t="str">
        <f>IF(Capaian1!AM30&lt;&gt;"",Capaian1!AM30,"")</f>
        <v/>
      </c>
      <c r="AN32" s="255" t="str">
        <f>IF(Capaian1!AN30&lt;&gt;"",Capaian1!AN30,"")</f>
        <v/>
      </c>
      <c r="AO32" s="255" t="str">
        <f>IF(Capaian1!AO30&lt;&gt;"",Capaian1!AO30,"")</f>
        <v/>
      </c>
      <c r="AP32" s="255" t="str">
        <f>IF(Capaian1!AP30&lt;&gt;"",Capaian1!AP30,"")</f>
        <v/>
      </c>
      <c r="AQ32" s="255" t="str">
        <f>IF(Capaian1!AQ30&lt;&gt;"",Capaian1!AQ30,"")</f>
        <v/>
      </c>
      <c r="AR32" s="255" t="str">
        <f>IF(Capaian1!AR30&lt;&gt;"",Capaian1!AR30,"")</f>
        <v/>
      </c>
      <c r="AS32" s="255" t="str">
        <f>IF(Capaian1!AS30&lt;&gt;"",Capaian1!AS30,"")</f>
        <v/>
      </c>
      <c r="AT32" s="255" t="str">
        <f>IF(Capaian1!AT30&lt;&gt;"",Capaian1!AT30,"")</f>
        <v/>
      </c>
      <c r="AU32" s="255" t="str">
        <f>IF(Capaian1!AU30&lt;&gt;"",Capaian1!AU30,"")</f>
        <v/>
      </c>
      <c r="AV32" s="255" t="str">
        <f>IF(Capaian1!AV30&lt;&gt;"",Capaian1!AV30,"")</f>
        <v/>
      </c>
      <c r="AW32" s="255" t="str">
        <f>IF(Capaian1!AW30&lt;&gt;"",Capaian1!AW30,"")</f>
        <v/>
      </c>
      <c r="AX32" s="255">
        <f>IF(Capaian1!AX30&lt;&gt;"",Capaian1!AX30,"")</f>
        <v>3.0720000000000001</v>
      </c>
      <c r="AY32" s="255">
        <f>IF(Capaian1!AY30&lt;&gt;"",Capaian1!AY30,"")</f>
        <v>3.35</v>
      </c>
      <c r="AZ32" s="255" t="str">
        <f>IF(Capaian1!AZ30&lt;&gt;"",Capaian1!AZ30,"")</f>
        <v>B</v>
      </c>
      <c r="BA32" s="255">
        <f>IF(Capaian1!BA30&lt;&gt;"",Capaian1!BA30,"")</f>
        <v>3.16</v>
      </c>
      <c r="BB32" s="255">
        <f>IF(Capaian1!BB30&lt;&gt;"",Capaian1!BB30,"")</f>
        <v>3.1680000000000001</v>
      </c>
      <c r="BC32" s="255" t="str">
        <f>IF(Capaian1!BC30&lt;&gt;"",Capaian1!BC30,"")</f>
        <v>B</v>
      </c>
      <c r="BD32" s="255">
        <f>IF(Capaian1!BD30&lt;&gt;"",Capaian1!BD30,"")</f>
        <v>3.1779999999999999</v>
      </c>
      <c r="BE32" s="255">
        <f>IF(Capaian1!BE30&lt;&gt;"",Capaian1!BE30,"")</f>
        <v>3.2436000000000003</v>
      </c>
      <c r="BF32" s="255" t="str">
        <f>IF(Capaian1!BF30&lt;&gt;"",Capaian1!BF30,"")</f>
        <v>B</v>
      </c>
      <c r="BG32" s="255">
        <f>IF(Capaian1!BG30&lt;&gt;"",Capaian1!BG30,"")</f>
        <v>2.9920000000000004</v>
      </c>
      <c r="BH32" s="255">
        <f>IF(Capaian1!BH30&lt;&gt;"",Capaian1!BH30,"")</f>
        <v>3.08</v>
      </c>
      <c r="BI32" s="255" t="str">
        <f>IF(Capaian1!BI30&lt;&gt;"",Capaian1!BI30,"")</f>
        <v>B</v>
      </c>
      <c r="BJ32" s="255">
        <f>IF(Capaian1!BJ30&lt;&gt;"",Capaian1!BJ30,"")</f>
        <v>2.68</v>
      </c>
      <c r="BK32" s="255">
        <f>IF(Capaian1!BK30&lt;&gt;"",Capaian1!BK30,"")</f>
        <v>3</v>
      </c>
      <c r="BL32" s="255" t="str">
        <f>IF(Capaian1!BL30&lt;&gt;"",Capaian1!BL30,"")</f>
        <v>B</v>
      </c>
      <c r="BM32" s="255" t="str">
        <f>IF(Capaian1!BP30&lt;&gt;"",Capaian1!BP30,"")</f>
        <v/>
      </c>
      <c r="BN32" s="255" t="str">
        <f>IF(Capaian1!BQ30&lt;&gt;"",Capaian1!BQ30,"")</f>
        <v/>
      </c>
      <c r="BO32" s="255" t="str">
        <f>IF(Capaian1!BR30&lt;&gt;"",Capaian1!BR30,"")</f>
        <v/>
      </c>
      <c r="BP32" s="255" t="str">
        <f>IF(Capaian1!BS30&lt;&gt;"",Capaian1!BS30,"")</f>
        <v/>
      </c>
      <c r="BQ32" s="255" t="str">
        <f>IF(Capaian1!BT30&lt;&gt;"",Capaian1!BT30,"")</f>
        <v/>
      </c>
      <c r="BR32" s="255" t="str">
        <f>IF(Capaian1!BU30&lt;&gt;"",Capaian1!BU30,"")</f>
        <v/>
      </c>
      <c r="BS32" s="255" t="str">
        <f>IF(Capaian1!BV30&lt;&gt;"",Capaian1!BV30,"")</f>
        <v/>
      </c>
      <c r="BT32" s="255" t="str">
        <f>IF(Capaian1!BW30&lt;&gt;"",Capaian1!BW30,"")</f>
        <v/>
      </c>
      <c r="BU32" s="255" t="str">
        <f>IF(Capaian1!BX30&lt;&gt;"",Capaian1!BX30,"")</f>
        <v/>
      </c>
      <c r="BV32" s="255">
        <f>IF(Capaian1!BM30&lt;&gt;"",Capaian1!BM30,"")</f>
        <v>3.508</v>
      </c>
      <c r="BW32" s="255">
        <f>IF(Capaian1!BN30&lt;&gt;"",Capaian1!BN30,"")</f>
        <v>3.1880000000000002</v>
      </c>
      <c r="BX32" s="255" t="str">
        <f>IF(Capaian1!BO30&lt;&gt;"",Capaian1!BO30,"")</f>
        <v>B</v>
      </c>
      <c r="BY32" s="255" t="str">
        <f>IF(Capaian1!BP30&lt;&gt;"",Capaian1!BP30,"")</f>
        <v/>
      </c>
      <c r="BZ32" s="255" t="str">
        <f>IF(Capaian1!BQ30&lt;&gt;"",Capaian1!BQ30,"")</f>
        <v/>
      </c>
      <c r="CA32" s="255" t="str">
        <f>IF(Capaian1!BR30&lt;&gt;"",Capaian1!BR30,"")</f>
        <v/>
      </c>
      <c r="CB32" s="255" t="str">
        <f>IF(Capaian1!BS30&lt;&gt;"",Capaian1!BS30,"")</f>
        <v/>
      </c>
      <c r="CC32" s="255" t="str">
        <f>IF(Capaian1!BT30&lt;&gt;"",Capaian1!BT30,"")</f>
        <v/>
      </c>
      <c r="CD32" s="255" t="str">
        <f>IF(Capaian1!BU30&lt;&gt;"",Capaian1!BU30,"")</f>
        <v/>
      </c>
      <c r="CE32" s="255" t="str">
        <f>IF(Capaian1!BV30&lt;&gt;"",Capaian1!BV30,"")</f>
        <v/>
      </c>
      <c r="CF32" s="255" t="str">
        <f>IF(Capaian1!BW30&lt;&gt;"",Capaian1!BW30,"")</f>
        <v/>
      </c>
      <c r="CG32" s="255" t="str">
        <f>IF(Capaian1!BX30&lt;&gt;"",Capaian1!BX30,"")</f>
        <v/>
      </c>
      <c r="CH32" s="255" t="str">
        <f>IF(Capaian1!BY30&lt;&gt;"",Capaian1!BY30,"")</f>
        <v/>
      </c>
      <c r="CI32" s="255" t="str">
        <f>IF(Capaian1!BZ30&lt;&gt;"",Capaian1!BZ30,"")</f>
        <v/>
      </c>
      <c r="CJ32" s="255" t="str">
        <f>IF(Capaian1!CA30&lt;&gt;"",Capaian1!CA30,"")</f>
        <v/>
      </c>
      <c r="CK32" s="255" t="str">
        <f>IF(Capaian1!CB30&lt;&gt;"",Capaian1!CB30,"")</f>
        <v/>
      </c>
      <c r="CL32" s="255" t="str">
        <f>IF(Capaian1!CC30&lt;&gt;"",Capaian1!CC30,"")</f>
        <v/>
      </c>
      <c r="CM32" s="255" t="str">
        <f>IF(Capaian1!CD30&lt;&gt;"",Capaian1!CD30,"")</f>
        <v/>
      </c>
      <c r="CN32" s="255" t="str">
        <f>IF(Capaian1!CE30&lt;&gt;"",Capaian1!CE30,"")</f>
        <v/>
      </c>
      <c r="CO32" s="255" t="str">
        <f>IF(Capaian1!CF30&lt;&gt;"",Capaian1!CF30,"")</f>
        <v/>
      </c>
      <c r="CP32" s="255" t="str">
        <f>IF(Capaian1!CG30&lt;&gt;"",Capaian1!CG30,"")</f>
        <v/>
      </c>
      <c r="CQ32" s="255">
        <f>IF(Capaian1!CH30&lt;&gt;"",Capaian1!CH30,"")</f>
        <v>3.4333333333333336</v>
      </c>
      <c r="CR32" s="255">
        <f>IF(Capaian1!CI30&lt;&gt;"",Capaian1!CI30,"")</f>
        <v>3.5</v>
      </c>
      <c r="CS32" s="255" t="str">
        <f>IF(Capaian1!CJ30&lt;&gt;"",Capaian1!CJ30,"")</f>
        <v>B</v>
      </c>
      <c r="CT32" s="255" t="str">
        <f>IF(Capaian1!CK30&lt;&gt;"",Capaian1!CK30,"")</f>
        <v/>
      </c>
      <c r="CU32" s="255" t="str">
        <f>IF(Capaian1!CL30&lt;&gt;"",Capaian1!CL30,"")</f>
        <v/>
      </c>
      <c r="CV32" s="255" t="str">
        <f>IF(Capaian1!CM30&lt;&gt;"",Capaian1!CM30,"")</f>
        <v/>
      </c>
      <c r="CW32" s="255" t="str">
        <f>IF(Capaian1!CN30&lt;&gt;"",Capaian1!CN30,"")</f>
        <v>--</v>
      </c>
      <c r="CX32" s="255" t="str">
        <f>IF(Capaian1!CO30&lt;&gt;"",Capaian1!CO30,"")</f>
        <v/>
      </c>
      <c r="CY32" s="255" t="str">
        <f>IF(Capaian1!CP30&lt;&gt;"",Capaian1!CP30,"")</f>
        <v>--</v>
      </c>
      <c r="CZ32" s="255" t="str">
        <f>IF(Capaian1!CQ30&lt;&gt;"",Capaian1!CQ30,"")</f>
        <v/>
      </c>
      <c r="DA32" s="255">
        <f>IF(Capaian1!CR30&lt;&gt;"",Capaian1!CR30,"")</f>
        <v>0</v>
      </c>
      <c r="DB32" s="255">
        <f>IF(Capaian1!CS30&lt;&gt;"",Capaian1!CS30,"")</f>
        <v>0</v>
      </c>
      <c r="DC32" s="255">
        <f>IF(Capaian1!CT30&lt;&gt;"",Capaian1!CT30,"")</f>
        <v>3</v>
      </c>
    </row>
    <row r="33" spans="2:107" s="234" customFormat="1" x14ac:dyDescent="0.25">
      <c r="B33" s="238">
        <v>27</v>
      </c>
      <c r="C33" s="238" t="str">
        <f>Peserta_Didik!D29</f>
        <v>1314.10.133</v>
      </c>
      <c r="D33" s="238" t="str">
        <f>Peserta_Didik!C29</f>
        <v>Muhammad Sakhin Aliyyin</v>
      </c>
      <c r="E33" s="255">
        <f>IF(Capaian1!E31&lt;&gt;"",Capaian1!E31,"")</f>
        <v>3.0880000000000001</v>
      </c>
      <c r="F33" s="255">
        <f>IF(Capaian1!F31&lt;&gt;"",Capaian1!F31,"")</f>
        <v>3.32</v>
      </c>
      <c r="G33" s="255" t="str">
        <f>IF(Capaian1!G31&lt;&gt;"",Capaian1!G31,"")</f>
        <v>B</v>
      </c>
      <c r="H33" s="255">
        <f>IF(Capaian1!H31&lt;&gt;"",Capaian1!H31,"")</f>
        <v>3.0960000000000001</v>
      </c>
      <c r="I33" s="255">
        <f>IF(Capaian1!I31&lt;&gt;"",Capaian1!I31,"")</f>
        <v>3.16</v>
      </c>
      <c r="J33" s="255" t="str">
        <f>IF(Capaian1!J31&lt;&gt;"",Capaian1!J31,"")</f>
        <v>B</v>
      </c>
      <c r="K33" s="255">
        <f>IF(Capaian1!K31&lt;&gt;"",Capaian1!K31,"")</f>
        <v>3.6719999999999997</v>
      </c>
      <c r="L33" s="255">
        <f>IF(Capaian1!L31&lt;&gt;"",Capaian1!L31,"")</f>
        <v>3.4</v>
      </c>
      <c r="M33" s="255" t="str">
        <f>IF(Capaian1!M31&lt;&gt;"",Capaian1!M31,"")</f>
        <v>B</v>
      </c>
      <c r="N33" s="255">
        <f>IF(Capaian1!N31&lt;&gt;"",Capaian1!N31,"")</f>
        <v>2.7250000000000001</v>
      </c>
      <c r="O33" s="255">
        <f>IF(Capaian1!O31&lt;&gt;"",Capaian1!O31,"")</f>
        <v>2.8106666666666666</v>
      </c>
      <c r="P33" s="255" t="str">
        <f>IF(Capaian1!P31&lt;&gt;"",Capaian1!P31,"")</f>
        <v>B</v>
      </c>
      <c r="Q33" s="255">
        <f>IF(Capaian1!Q31&lt;&gt;"",Capaian1!Q31,"")</f>
        <v>3.1160000000000001</v>
      </c>
      <c r="R33" s="255">
        <f>IF(Capaian1!R31&lt;&gt;"",Capaian1!R31,"")</f>
        <v>3.206666666666667</v>
      </c>
      <c r="S33" s="255" t="str">
        <f>IF(Capaian1!S31&lt;&gt;"",Capaian1!S31,"")</f>
        <v>B</v>
      </c>
      <c r="T33" s="255">
        <f>IF(Capaian1!T31&lt;&gt;"",Capaian1!T31,"")</f>
        <v>3.2639999999999998</v>
      </c>
      <c r="U33" s="255">
        <f>IF(Capaian1!U31&lt;&gt;"",Capaian1!U31,"")</f>
        <v>3.2239999999999998</v>
      </c>
      <c r="V33" s="255" t="str">
        <f>IF(Capaian1!V31&lt;&gt;"",Capaian1!V31,"")</f>
        <v>B</v>
      </c>
      <c r="W33" s="255">
        <f>IF(Capaian1!W31&lt;&gt;"",Capaian1!W31,"")</f>
        <v>3.3151999999999999</v>
      </c>
      <c r="X33" s="255">
        <f>IF(Capaian1!X31&lt;&gt;"",Capaian1!X31,"")</f>
        <v>3.2960000000000003</v>
      </c>
      <c r="Y33" s="255" t="str">
        <f>IF(Capaian1!Y31&lt;&gt;"",Capaian1!Y31,"")</f>
        <v>B</v>
      </c>
      <c r="Z33" s="255">
        <f>IF(Capaian1!Z31&lt;&gt;"",Capaian1!Z31,"")</f>
        <v>3.04</v>
      </c>
      <c r="AA33" s="255">
        <f>IF(Capaian1!AA31&lt;&gt;"",Capaian1!AA31,"")</f>
        <v>3.4739999999999998</v>
      </c>
      <c r="AB33" s="255" t="str">
        <f>IF(Capaian1!AB31&lt;&gt;"",Capaian1!AB31,"")</f>
        <v>B</v>
      </c>
      <c r="AC33" s="255">
        <f>IF(Capaian1!AC31&lt;&gt;"",Capaian1!AC31,"")</f>
        <v>3.1919999999999997</v>
      </c>
      <c r="AD33" s="255">
        <f>IF(Capaian1!AD31&lt;&gt;"",Capaian1!AD31,"")</f>
        <v>3.24</v>
      </c>
      <c r="AE33" s="255" t="str">
        <f>IF(Capaian1!AE31&lt;&gt;"",Capaian1!AE31,"")</f>
        <v>B</v>
      </c>
      <c r="AF33" s="255">
        <f>IF(Capaian1!AF31&lt;&gt;"",Capaian1!AF31,"")</f>
        <v>2.9580000000000002</v>
      </c>
      <c r="AG33" s="255">
        <f>IF(Capaian1!AG31&lt;&gt;"",Capaian1!AG31,"")</f>
        <v>3.1</v>
      </c>
      <c r="AH33" s="255" t="str">
        <f>IF(Capaian1!AH31&lt;&gt;"",Capaian1!AH31,"")</f>
        <v>B</v>
      </c>
      <c r="AI33" s="255">
        <f>IF(Capaian1!AI31&lt;&gt;"",Capaian1!AI31,"")</f>
        <v>3.1016000000000004</v>
      </c>
      <c r="AJ33" s="255">
        <f>IF(Capaian1!AJ31&lt;&gt;"",Capaian1!AJ31,"")</f>
        <v>3.2</v>
      </c>
      <c r="AK33" s="255" t="str">
        <f>IF(Capaian1!AK31&lt;&gt;"",Capaian1!AK31,"")</f>
        <v>B</v>
      </c>
      <c r="AL33" s="255" t="str">
        <f>IF(Capaian1!AL31&lt;&gt;"",Capaian1!AL31,"")</f>
        <v/>
      </c>
      <c r="AM33" s="255" t="str">
        <f>IF(Capaian1!AM31&lt;&gt;"",Capaian1!AM31,"")</f>
        <v/>
      </c>
      <c r="AN33" s="255" t="str">
        <f>IF(Capaian1!AN31&lt;&gt;"",Capaian1!AN31,"")</f>
        <v/>
      </c>
      <c r="AO33" s="255" t="str">
        <f>IF(Capaian1!AO31&lt;&gt;"",Capaian1!AO31,"")</f>
        <v/>
      </c>
      <c r="AP33" s="255" t="str">
        <f>IF(Capaian1!AP31&lt;&gt;"",Capaian1!AP31,"")</f>
        <v/>
      </c>
      <c r="AQ33" s="255" t="str">
        <f>IF(Capaian1!AQ31&lt;&gt;"",Capaian1!AQ31,"")</f>
        <v/>
      </c>
      <c r="AR33" s="255" t="str">
        <f>IF(Capaian1!AR31&lt;&gt;"",Capaian1!AR31,"")</f>
        <v/>
      </c>
      <c r="AS33" s="255" t="str">
        <f>IF(Capaian1!AS31&lt;&gt;"",Capaian1!AS31,"")</f>
        <v/>
      </c>
      <c r="AT33" s="255" t="str">
        <f>IF(Capaian1!AT31&lt;&gt;"",Capaian1!AT31,"")</f>
        <v/>
      </c>
      <c r="AU33" s="255" t="str">
        <f>IF(Capaian1!AU31&lt;&gt;"",Capaian1!AU31,"")</f>
        <v/>
      </c>
      <c r="AV33" s="255" t="str">
        <f>IF(Capaian1!AV31&lt;&gt;"",Capaian1!AV31,"")</f>
        <v/>
      </c>
      <c r="AW33" s="255" t="str">
        <f>IF(Capaian1!AW31&lt;&gt;"",Capaian1!AW31,"")</f>
        <v/>
      </c>
      <c r="AX33" s="255">
        <f>IF(Capaian1!AX31&lt;&gt;"",Capaian1!AX31,"")</f>
        <v>3.0960000000000001</v>
      </c>
      <c r="AY33" s="255">
        <f>IF(Capaian1!AY31&lt;&gt;"",Capaian1!AY31,"")</f>
        <v>3.19</v>
      </c>
      <c r="AZ33" s="255" t="str">
        <f>IF(Capaian1!AZ31&lt;&gt;"",Capaian1!AZ31,"")</f>
        <v>B</v>
      </c>
      <c r="BA33" s="255">
        <f>IF(Capaian1!BA31&lt;&gt;"",Capaian1!BA31,"")</f>
        <v>3.1720000000000006</v>
      </c>
      <c r="BB33" s="255">
        <f>IF(Capaian1!BB31&lt;&gt;"",Capaian1!BB31,"")</f>
        <v>3.1680000000000001</v>
      </c>
      <c r="BC33" s="255" t="str">
        <f>IF(Capaian1!BC31&lt;&gt;"",Capaian1!BC31,"")</f>
        <v>B</v>
      </c>
      <c r="BD33" s="255">
        <f>IF(Capaian1!BD31&lt;&gt;"",Capaian1!BD31,"")</f>
        <v>3.258</v>
      </c>
      <c r="BE33" s="255">
        <f>IF(Capaian1!BE31&lt;&gt;"",Capaian1!BE31,"")</f>
        <v>3.2744</v>
      </c>
      <c r="BF33" s="255" t="str">
        <f>IF(Capaian1!BF31&lt;&gt;"",Capaian1!BF31,"")</f>
        <v>B</v>
      </c>
      <c r="BG33" s="255">
        <f>IF(Capaian1!BG31&lt;&gt;"",Capaian1!BG31,"")</f>
        <v>2.9813333333333332</v>
      </c>
      <c r="BH33" s="255">
        <f>IF(Capaian1!BH31&lt;&gt;"",Capaian1!BH31,"")</f>
        <v>2.9133333333333336</v>
      </c>
      <c r="BI33" s="255" t="str">
        <f>IF(Capaian1!BI31&lt;&gt;"",Capaian1!BI31,"")</f>
        <v>B</v>
      </c>
      <c r="BJ33" s="255">
        <f>IF(Capaian1!BJ31&lt;&gt;"",Capaian1!BJ31,"")</f>
        <v>2.84</v>
      </c>
      <c r="BK33" s="255">
        <f>IF(Capaian1!BK31&lt;&gt;"",Capaian1!BK31,"")</f>
        <v>3</v>
      </c>
      <c r="BL33" s="255" t="str">
        <f>IF(Capaian1!BL31&lt;&gt;"",Capaian1!BL31,"")</f>
        <v>B</v>
      </c>
      <c r="BM33" s="255" t="str">
        <f>IF(Capaian1!BP31&lt;&gt;"",Capaian1!BP31,"")</f>
        <v/>
      </c>
      <c r="BN33" s="255" t="str">
        <f>IF(Capaian1!BQ31&lt;&gt;"",Capaian1!BQ31,"")</f>
        <v/>
      </c>
      <c r="BO33" s="255" t="str">
        <f>IF(Capaian1!BR31&lt;&gt;"",Capaian1!BR31,"")</f>
        <v/>
      </c>
      <c r="BP33" s="255" t="str">
        <f>IF(Capaian1!BS31&lt;&gt;"",Capaian1!BS31,"")</f>
        <v/>
      </c>
      <c r="BQ33" s="255" t="str">
        <f>IF(Capaian1!BT31&lt;&gt;"",Capaian1!BT31,"")</f>
        <v/>
      </c>
      <c r="BR33" s="255" t="str">
        <f>IF(Capaian1!BU31&lt;&gt;"",Capaian1!BU31,"")</f>
        <v/>
      </c>
      <c r="BS33" s="255" t="str">
        <f>IF(Capaian1!BV31&lt;&gt;"",Capaian1!BV31,"")</f>
        <v/>
      </c>
      <c r="BT33" s="255" t="str">
        <f>IF(Capaian1!BW31&lt;&gt;"",Capaian1!BW31,"")</f>
        <v/>
      </c>
      <c r="BU33" s="255" t="str">
        <f>IF(Capaian1!BX31&lt;&gt;"",Capaian1!BX31,"")</f>
        <v/>
      </c>
      <c r="BV33" s="255">
        <f>IF(Capaian1!BM31&lt;&gt;"",Capaian1!BM31,"")</f>
        <v>3.2080000000000002</v>
      </c>
      <c r="BW33" s="255">
        <f>IF(Capaian1!BN31&lt;&gt;"",Capaian1!BN31,"")</f>
        <v>3.2</v>
      </c>
      <c r="BX33" s="255" t="str">
        <f>IF(Capaian1!BO31&lt;&gt;"",Capaian1!BO31,"")</f>
        <v>B</v>
      </c>
      <c r="BY33" s="255" t="str">
        <f>IF(Capaian1!BP31&lt;&gt;"",Capaian1!BP31,"")</f>
        <v/>
      </c>
      <c r="BZ33" s="255" t="str">
        <f>IF(Capaian1!BQ31&lt;&gt;"",Capaian1!BQ31,"")</f>
        <v/>
      </c>
      <c r="CA33" s="255" t="str">
        <f>IF(Capaian1!BR31&lt;&gt;"",Capaian1!BR31,"")</f>
        <v/>
      </c>
      <c r="CB33" s="255" t="str">
        <f>IF(Capaian1!BS31&lt;&gt;"",Capaian1!BS31,"")</f>
        <v/>
      </c>
      <c r="CC33" s="255" t="str">
        <f>IF(Capaian1!BT31&lt;&gt;"",Capaian1!BT31,"")</f>
        <v/>
      </c>
      <c r="CD33" s="255" t="str">
        <f>IF(Capaian1!BU31&lt;&gt;"",Capaian1!BU31,"")</f>
        <v/>
      </c>
      <c r="CE33" s="255" t="str">
        <f>IF(Capaian1!BV31&lt;&gt;"",Capaian1!BV31,"")</f>
        <v/>
      </c>
      <c r="CF33" s="255" t="str">
        <f>IF(Capaian1!BW31&lt;&gt;"",Capaian1!BW31,"")</f>
        <v/>
      </c>
      <c r="CG33" s="255" t="str">
        <f>IF(Capaian1!BX31&lt;&gt;"",Capaian1!BX31,"")</f>
        <v/>
      </c>
      <c r="CH33" s="255" t="str">
        <f>IF(Capaian1!BY31&lt;&gt;"",Capaian1!BY31,"")</f>
        <v/>
      </c>
      <c r="CI33" s="255" t="str">
        <f>IF(Capaian1!BZ31&lt;&gt;"",Capaian1!BZ31,"")</f>
        <v/>
      </c>
      <c r="CJ33" s="255" t="str">
        <f>IF(Capaian1!CA31&lt;&gt;"",Capaian1!CA31,"")</f>
        <v/>
      </c>
      <c r="CK33" s="255" t="str">
        <f>IF(Capaian1!CB31&lt;&gt;"",Capaian1!CB31,"")</f>
        <v/>
      </c>
      <c r="CL33" s="255" t="str">
        <f>IF(Capaian1!CC31&lt;&gt;"",Capaian1!CC31,"")</f>
        <v/>
      </c>
      <c r="CM33" s="255" t="str">
        <f>IF(Capaian1!CD31&lt;&gt;"",Capaian1!CD31,"")</f>
        <v/>
      </c>
      <c r="CN33" s="255" t="str">
        <f>IF(Capaian1!CE31&lt;&gt;"",Capaian1!CE31,"")</f>
        <v/>
      </c>
      <c r="CO33" s="255" t="str">
        <f>IF(Capaian1!CF31&lt;&gt;"",Capaian1!CF31,"")</f>
        <v/>
      </c>
      <c r="CP33" s="255" t="str">
        <f>IF(Capaian1!CG31&lt;&gt;"",Capaian1!CG31,"")</f>
        <v/>
      </c>
      <c r="CQ33" s="255">
        <f>IF(Capaian1!CH31&lt;&gt;"",Capaian1!CH31,"")</f>
        <v>3.5066666666666664</v>
      </c>
      <c r="CR33" s="255">
        <f>IF(Capaian1!CI31&lt;&gt;"",Capaian1!CI31,"")</f>
        <v>3.54</v>
      </c>
      <c r="CS33" s="255" t="str">
        <f>IF(Capaian1!CJ31&lt;&gt;"",Capaian1!CJ31,"")</f>
        <v>B</v>
      </c>
      <c r="CT33" s="255" t="str">
        <f>IF(Capaian1!CK31&lt;&gt;"",Capaian1!CK31,"")</f>
        <v/>
      </c>
      <c r="CU33" s="255" t="str">
        <f>IF(Capaian1!CL31&lt;&gt;"",Capaian1!CL31,"")</f>
        <v/>
      </c>
      <c r="CV33" s="255" t="str">
        <f>IF(Capaian1!CM31&lt;&gt;"",Capaian1!CM31,"")</f>
        <v/>
      </c>
      <c r="CW33" s="255" t="str">
        <f>IF(Capaian1!CN31&lt;&gt;"",Capaian1!CN31,"")</f>
        <v>--</v>
      </c>
      <c r="CX33" s="255" t="str">
        <f>IF(Capaian1!CO31&lt;&gt;"",Capaian1!CO31,"")</f>
        <v/>
      </c>
      <c r="CY33" s="255" t="str">
        <f>IF(Capaian1!CP31&lt;&gt;"",Capaian1!CP31,"")</f>
        <v>PASKIBRA</v>
      </c>
      <c r="CZ33" s="255" t="str">
        <f>IF(Capaian1!CQ31&lt;&gt;"",Capaian1!CQ31,"")</f>
        <v>A</v>
      </c>
      <c r="DA33" s="255">
        <f>IF(Capaian1!CR31&lt;&gt;"",Capaian1!CR31,"")</f>
        <v>8</v>
      </c>
      <c r="DB33" s="255">
        <f>IF(Capaian1!CS31&lt;&gt;"",Capaian1!CS31,"")</f>
        <v>0</v>
      </c>
      <c r="DC33" s="255">
        <f>IF(Capaian1!CT31&lt;&gt;"",Capaian1!CT31,"")</f>
        <v>1</v>
      </c>
    </row>
    <row r="34" spans="2:107" s="234" customFormat="1" x14ac:dyDescent="0.25">
      <c r="B34" s="238">
        <v>28</v>
      </c>
      <c r="C34" s="238" t="str">
        <f>Peserta_Didik!D30</f>
        <v>1314.10.134</v>
      </c>
      <c r="D34" s="238" t="str">
        <f>Peserta_Didik!C30</f>
        <v>Rafly Ramadhan</v>
      </c>
      <c r="E34" s="255">
        <f>IF(Capaian1!E32&lt;&gt;"",Capaian1!E32,"")</f>
        <v>3.2879999999999994</v>
      </c>
      <c r="F34" s="255">
        <f>IF(Capaian1!F32&lt;&gt;"",Capaian1!F32,"")</f>
        <v>3.26</v>
      </c>
      <c r="G34" s="255" t="str">
        <f>IF(Capaian1!G32&lt;&gt;"",Capaian1!G32,"")</f>
        <v>B</v>
      </c>
      <c r="H34" s="255">
        <f>IF(Capaian1!H32&lt;&gt;"",Capaian1!H32,"")</f>
        <v>3.0720000000000001</v>
      </c>
      <c r="I34" s="255">
        <f>IF(Capaian1!I32&lt;&gt;"",Capaian1!I32,"")</f>
        <v>3.35</v>
      </c>
      <c r="J34" s="255" t="str">
        <f>IF(Capaian1!J32&lt;&gt;"",Capaian1!J32,"")</f>
        <v>B</v>
      </c>
      <c r="K34" s="255">
        <f>IF(Capaian1!K32&lt;&gt;"",Capaian1!K32,"")</f>
        <v>3.3439999999999999</v>
      </c>
      <c r="L34" s="255">
        <f>IF(Capaian1!L32&lt;&gt;"",Capaian1!L32,"")</f>
        <v>3.2</v>
      </c>
      <c r="M34" s="255" t="str">
        <f>IF(Capaian1!M32&lt;&gt;"",Capaian1!M32,"")</f>
        <v>B</v>
      </c>
      <c r="N34" s="255">
        <f>IF(Capaian1!N32&lt;&gt;"",Capaian1!N32,"")</f>
        <v>2.923142857142857</v>
      </c>
      <c r="O34" s="255">
        <f>IF(Capaian1!O32&lt;&gt;"",Capaian1!O32,"")</f>
        <v>3.0990476190476186</v>
      </c>
      <c r="P34" s="255" t="str">
        <f>IF(Capaian1!P32&lt;&gt;"",Capaian1!P32,"")</f>
        <v>SB</v>
      </c>
      <c r="Q34" s="255">
        <f>IF(Capaian1!Q32&lt;&gt;"",Capaian1!Q32,"")</f>
        <v>3.3973333333333331</v>
      </c>
      <c r="R34" s="255">
        <f>IF(Capaian1!R32&lt;&gt;"",Capaian1!R32,"")</f>
        <v>3.2</v>
      </c>
      <c r="S34" s="255" t="str">
        <f>IF(Capaian1!S32&lt;&gt;"",Capaian1!S32,"")</f>
        <v>B</v>
      </c>
      <c r="T34" s="255">
        <f>IF(Capaian1!T32&lt;&gt;"",Capaian1!T32,"")</f>
        <v>3.2639999999999998</v>
      </c>
      <c r="U34" s="255">
        <f>IF(Capaian1!U32&lt;&gt;"",Capaian1!U32,"")</f>
        <v>3.2239999999999998</v>
      </c>
      <c r="V34" s="255" t="str">
        <f>IF(Capaian1!V32&lt;&gt;"",Capaian1!V32,"")</f>
        <v>B</v>
      </c>
      <c r="W34" s="255">
        <f>IF(Capaian1!W32&lt;&gt;"",Capaian1!W32,"")</f>
        <v>3.3536000000000001</v>
      </c>
      <c r="X34" s="255">
        <f>IF(Capaian1!X32&lt;&gt;"",Capaian1!X32,"")</f>
        <v>3.2839999999999998</v>
      </c>
      <c r="Y34" s="255" t="str">
        <f>IF(Capaian1!Y32&lt;&gt;"",Capaian1!Y32,"")</f>
        <v>B</v>
      </c>
      <c r="Z34" s="255">
        <f>IF(Capaian1!Z32&lt;&gt;"",Capaian1!Z32,"")</f>
        <v>3.04</v>
      </c>
      <c r="AA34" s="255">
        <f>IF(Capaian1!AA32&lt;&gt;"",Capaian1!AA32,"")</f>
        <v>3.173</v>
      </c>
      <c r="AB34" s="255" t="str">
        <f>IF(Capaian1!AB32&lt;&gt;"",Capaian1!AB32,"")</f>
        <v>B</v>
      </c>
      <c r="AC34" s="255">
        <f>IF(Capaian1!AC32&lt;&gt;"",Capaian1!AC32,"")</f>
        <v>3.2319999999999998</v>
      </c>
      <c r="AD34" s="255">
        <f>IF(Capaian1!AD32&lt;&gt;"",Capaian1!AD32,"")</f>
        <v>3.24</v>
      </c>
      <c r="AE34" s="255" t="str">
        <f>IF(Capaian1!AE32&lt;&gt;"",Capaian1!AE32,"")</f>
        <v>B</v>
      </c>
      <c r="AF34" s="255">
        <f>IF(Capaian1!AF32&lt;&gt;"",Capaian1!AF32,"")</f>
        <v>2.9550000000000001</v>
      </c>
      <c r="AG34" s="255">
        <f>IF(Capaian1!AG32&lt;&gt;"",Capaian1!AG32,"")</f>
        <v>3.1</v>
      </c>
      <c r="AH34" s="255" t="str">
        <f>IF(Capaian1!AH32&lt;&gt;"",Capaian1!AH32,"")</f>
        <v>B</v>
      </c>
      <c r="AI34" s="255">
        <f>IF(Capaian1!AI32&lt;&gt;"",Capaian1!AI32,"")</f>
        <v>3.0980000000000003</v>
      </c>
      <c r="AJ34" s="255">
        <f>IF(Capaian1!AJ32&lt;&gt;"",Capaian1!AJ32,"")</f>
        <v>3.24</v>
      </c>
      <c r="AK34" s="255" t="str">
        <f>IF(Capaian1!AK32&lt;&gt;"",Capaian1!AK32,"")</f>
        <v>B</v>
      </c>
      <c r="AL34" s="255" t="str">
        <f>IF(Capaian1!AL32&lt;&gt;"",Capaian1!AL32,"")</f>
        <v/>
      </c>
      <c r="AM34" s="255" t="str">
        <f>IF(Capaian1!AM32&lt;&gt;"",Capaian1!AM32,"")</f>
        <v/>
      </c>
      <c r="AN34" s="255" t="str">
        <f>IF(Capaian1!AN32&lt;&gt;"",Capaian1!AN32,"")</f>
        <v/>
      </c>
      <c r="AO34" s="255" t="str">
        <f>IF(Capaian1!AO32&lt;&gt;"",Capaian1!AO32,"")</f>
        <v/>
      </c>
      <c r="AP34" s="255" t="str">
        <f>IF(Capaian1!AP32&lt;&gt;"",Capaian1!AP32,"")</f>
        <v/>
      </c>
      <c r="AQ34" s="255" t="str">
        <f>IF(Capaian1!AQ32&lt;&gt;"",Capaian1!AQ32,"")</f>
        <v/>
      </c>
      <c r="AR34" s="255" t="str">
        <f>IF(Capaian1!AR32&lt;&gt;"",Capaian1!AR32,"")</f>
        <v/>
      </c>
      <c r="AS34" s="255" t="str">
        <f>IF(Capaian1!AS32&lt;&gt;"",Capaian1!AS32,"")</f>
        <v/>
      </c>
      <c r="AT34" s="255" t="str">
        <f>IF(Capaian1!AT32&lt;&gt;"",Capaian1!AT32,"")</f>
        <v/>
      </c>
      <c r="AU34" s="255" t="str">
        <f>IF(Capaian1!AU32&lt;&gt;"",Capaian1!AU32,"")</f>
        <v/>
      </c>
      <c r="AV34" s="255" t="str">
        <f>IF(Capaian1!AV32&lt;&gt;"",Capaian1!AV32,"")</f>
        <v/>
      </c>
      <c r="AW34" s="255" t="str">
        <f>IF(Capaian1!AW32&lt;&gt;"",Capaian1!AW32,"")</f>
        <v/>
      </c>
      <c r="AX34" s="255">
        <f>IF(Capaian1!AX32&lt;&gt;"",Capaian1!AX32,"")</f>
        <v>3.0720000000000001</v>
      </c>
      <c r="AY34" s="255">
        <f>IF(Capaian1!AY32&lt;&gt;"",Capaian1!AY32,"")</f>
        <v>3.35</v>
      </c>
      <c r="AZ34" s="255" t="str">
        <f>IF(Capaian1!AZ32&lt;&gt;"",Capaian1!AZ32,"")</f>
        <v>B</v>
      </c>
      <c r="BA34" s="255">
        <f>IF(Capaian1!BA32&lt;&gt;"",Capaian1!BA32,"")</f>
        <v>3.0460000000000003</v>
      </c>
      <c r="BB34" s="255">
        <f>IF(Capaian1!BB32&lt;&gt;"",Capaian1!BB32,"")</f>
        <v>3.2080000000000002</v>
      </c>
      <c r="BC34" s="255" t="str">
        <f>IF(Capaian1!BC32&lt;&gt;"",Capaian1!BC32,"")</f>
        <v>B</v>
      </c>
      <c r="BD34" s="255">
        <f>IF(Capaian1!BD32&lt;&gt;"",Capaian1!BD32,"")</f>
        <v>3.2719999999999998</v>
      </c>
      <c r="BE34" s="255">
        <f>IF(Capaian1!BE32&lt;&gt;"",Capaian1!BE32,"")</f>
        <v>3.2492000000000001</v>
      </c>
      <c r="BF34" s="255" t="str">
        <f>IF(Capaian1!BF32&lt;&gt;"",Capaian1!BF32,"")</f>
        <v>B</v>
      </c>
      <c r="BG34" s="255">
        <f>IF(Capaian1!BG32&lt;&gt;"",Capaian1!BG32,"")</f>
        <v>3.0666666666666664</v>
      </c>
      <c r="BH34" s="255">
        <f>IF(Capaian1!BH32&lt;&gt;"",Capaian1!BH32,"")</f>
        <v>2.9666666666666663</v>
      </c>
      <c r="BI34" s="255" t="str">
        <f>IF(Capaian1!BI32&lt;&gt;"",Capaian1!BI32,"")</f>
        <v>B</v>
      </c>
      <c r="BJ34" s="255">
        <f>IF(Capaian1!BJ32&lt;&gt;"",Capaian1!BJ32,"")</f>
        <v>3.08</v>
      </c>
      <c r="BK34" s="255">
        <f>IF(Capaian1!BK32&lt;&gt;"",Capaian1!BK32,"")</f>
        <v>3.35</v>
      </c>
      <c r="BL34" s="255" t="str">
        <f>IF(Capaian1!BL32&lt;&gt;"",Capaian1!BL32,"")</f>
        <v>B</v>
      </c>
      <c r="BM34" s="255" t="str">
        <f>IF(Capaian1!BP32&lt;&gt;"",Capaian1!BP32,"")</f>
        <v/>
      </c>
      <c r="BN34" s="255" t="str">
        <f>IF(Capaian1!BQ32&lt;&gt;"",Capaian1!BQ32,"")</f>
        <v/>
      </c>
      <c r="BO34" s="255" t="str">
        <f>IF(Capaian1!BR32&lt;&gt;"",Capaian1!BR32,"")</f>
        <v/>
      </c>
      <c r="BP34" s="255" t="str">
        <f>IF(Capaian1!BS32&lt;&gt;"",Capaian1!BS32,"")</f>
        <v/>
      </c>
      <c r="BQ34" s="255" t="str">
        <f>IF(Capaian1!BT32&lt;&gt;"",Capaian1!BT32,"")</f>
        <v/>
      </c>
      <c r="BR34" s="255" t="str">
        <f>IF(Capaian1!BU32&lt;&gt;"",Capaian1!BU32,"")</f>
        <v/>
      </c>
      <c r="BS34" s="255" t="str">
        <f>IF(Capaian1!BV32&lt;&gt;"",Capaian1!BV32,"")</f>
        <v/>
      </c>
      <c r="BT34" s="255" t="str">
        <f>IF(Capaian1!BW32&lt;&gt;"",Capaian1!BW32,"")</f>
        <v/>
      </c>
      <c r="BU34" s="255" t="str">
        <f>IF(Capaian1!BX32&lt;&gt;"",Capaian1!BX32,"")</f>
        <v/>
      </c>
      <c r="BV34" s="255">
        <f>IF(Capaian1!BM32&lt;&gt;"",Capaian1!BM32,"")</f>
        <v>3.468</v>
      </c>
      <c r="BW34" s="255">
        <f>IF(Capaian1!BN32&lt;&gt;"",Capaian1!BN32,"")</f>
        <v>3.3119999999999998</v>
      </c>
      <c r="BX34" s="255" t="str">
        <f>IF(Capaian1!BO32&lt;&gt;"",Capaian1!BO32,"")</f>
        <v>B</v>
      </c>
      <c r="BY34" s="255" t="str">
        <f>IF(Capaian1!BP32&lt;&gt;"",Capaian1!BP32,"")</f>
        <v/>
      </c>
      <c r="BZ34" s="255" t="str">
        <f>IF(Capaian1!BQ32&lt;&gt;"",Capaian1!BQ32,"")</f>
        <v/>
      </c>
      <c r="CA34" s="255" t="str">
        <f>IF(Capaian1!BR32&lt;&gt;"",Capaian1!BR32,"")</f>
        <v/>
      </c>
      <c r="CB34" s="255" t="str">
        <f>IF(Capaian1!BS32&lt;&gt;"",Capaian1!BS32,"")</f>
        <v/>
      </c>
      <c r="CC34" s="255" t="str">
        <f>IF(Capaian1!BT32&lt;&gt;"",Capaian1!BT32,"")</f>
        <v/>
      </c>
      <c r="CD34" s="255" t="str">
        <f>IF(Capaian1!BU32&lt;&gt;"",Capaian1!BU32,"")</f>
        <v/>
      </c>
      <c r="CE34" s="255" t="str">
        <f>IF(Capaian1!BV32&lt;&gt;"",Capaian1!BV32,"")</f>
        <v/>
      </c>
      <c r="CF34" s="255" t="str">
        <f>IF(Capaian1!BW32&lt;&gt;"",Capaian1!BW32,"")</f>
        <v/>
      </c>
      <c r="CG34" s="255" t="str">
        <f>IF(Capaian1!BX32&lt;&gt;"",Capaian1!BX32,"")</f>
        <v/>
      </c>
      <c r="CH34" s="255" t="str">
        <f>IF(Capaian1!BY32&lt;&gt;"",Capaian1!BY32,"")</f>
        <v/>
      </c>
      <c r="CI34" s="255" t="str">
        <f>IF(Capaian1!BZ32&lt;&gt;"",Capaian1!BZ32,"")</f>
        <v/>
      </c>
      <c r="CJ34" s="255" t="str">
        <f>IF(Capaian1!CA32&lt;&gt;"",Capaian1!CA32,"")</f>
        <v/>
      </c>
      <c r="CK34" s="255" t="str">
        <f>IF(Capaian1!CB32&lt;&gt;"",Capaian1!CB32,"")</f>
        <v/>
      </c>
      <c r="CL34" s="255" t="str">
        <f>IF(Capaian1!CC32&lt;&gt;"",Capaian1!CC32,"")</f>
        <v/>
      </c>
      <c r="CM34" s="255" t="str">
        <f>IF(Capaian1!CD32&lt;&gt;"",Capaian1!CD32,"")</f>
        <v/>
      </c>
      <c r="CN34" s="255" t="str">
        <f>IF(Capaian1!CE32&lt;&gt;"",Capaian1!CE32,"")</f>
        <v/>
      </c>
      <c r="CO34" s="255" t="str">
        <f>IF(Capaian1!CF32&lt;&gt;"",Capaian1!CF32,"")</f>
        <v/>
      </c>
      <c r="CP34" s="255" t="str">
        <f>IF(Capaian1!CG32&lt;&gt;"",Capaian1!CG32,"")</f>
        <v/>
      </c>
      <c r="CQ34" s="255">
        <f>IF(Capaian1!CH32&lt;&gt;"",Capaian1!CH32,"")</f>
        <v>3.4133333333333336</v>
      </c>
      <c r="CR34" s="255">
        <f>IF(Capaian1!CI32&lt;&gt;"",Capaian1!CI32,"")</f>
        <v>3.54</v>
      </c>
      <c r="CS34" s="255" t="str">
        <f>IF(Capaian1!CJ32&lt;&gt;"",Capaian1!CJ32,"")</f>
        <v>B</v>
      </c>
      <c r="CT34" s="255" t="str">
        <f>IF(Capaian1!CK32&lt;&gt;"",Capaian1!CK32,"")</f>
        <v/>
      </c>
      <c r="CU34" s="255" t="str">
        <f>IF(Capaian1!CL32&lt;&gt;"",Capaian1!CL32,"")</f>
        <v/>
      </c>
      <c r="CV34" s="255" t="str">
        <f>IF(Capaian1!CM32&lt;&gt;"",Capaian1!CM32,"")</f>
        <v/>
      </c>
      <c r="CW34" s="255" t="str">
        <f>IF(Capaian1!CN32&lt;&gt;"",Capaian1!CN32,"")</f>
        <v>--</v>
      </c>
      <c r="CX34" s="255" t="str">
        <f>IF(Capaian1!CO32&lt;&gt;"",Capaian1!CO32,"")</f>
        <v/>
      </c>
      <c r="CY34" s="255" t="str">
        <f>IF(Capaian1!CP32&lt;&gt;"",Capaian1!CP32,"")</f>
        <v>FUTSAL</v>
      </c>
      <c r="CZ34" s="255" t="str">
        <f>IF(Capaian1!CQ32&lt;&gt;"",Capaian1!CQ32,"")</f>
        <v>A</v>
      </c>
      <c r="DA34" s="255">
        <f>IF(Capaian1!CR32&lt;&gt;"",Capaian1!CR32,"")</f>
        <v>2</v>
      </c>
      <c r="DB34" s="255">
        <f>IF(Capaian1!CS32&lt;&gt;"",Capaian1!CS32,"")</f>
        <v>3</v>
      </c>
      <c r="DC34" s="255">
        <f>IF(Capaian1!CT32&lt;&gt;"",Capaian1!CT32,"")</f>
        <v>1</v>
      </c>
    </row>
    <row r="35" spans="2:107" s="234" customFormat="1" x14ac:dyDescent="0.25">
      <c r="B35" s="238">
        <v>29</v>
      </c>
      <c r="C35" s="238" t="str">
        <f>Peserta_Didik!D31</f>
        <v>1314.10.135</v>
      </c>
      <c r="D35" s="238" t="str">
        <f>Peserta_Didik!C31</f>
        <v>Raka Bagus Hartanto</v>
      </c>
      <c r="E35" s="255">
        <f>IF(Capaian1!E33&lt;&gt;"",Capaian1!E33,"")</f>
        <v>3.2719999999999994</v>
      </c>
      <c r="F35" s="255">
        <f>IF(Capaian1!F33&lt;&gt;"",Capaian1!F33,"")</f>
        <v>3.2</v>
      </c>
      <c r="G35" s="255" t="str">
        <f>IF(Capaian1!G33&lt;&gt;"",Capaian1!G33,"")</f>
        <v>B</v>
      </c>
      <c r="H35" s="255">
        <f>IF(Capaian1!H33&lt;&gt;"",Capaian1!H33,"")</f>
        <v>3.016</v>
      </c>
      <c r="I35" s="255">
        <f>IF(Capaian1!I33&lt;&gt;"",Capaian1!I33,"")</f>
        <v>3.36</v>
      </c>
      <c r="J35" s="255" t="str">
        <f>IF(Capaian1!J33&lt;&gt;"",Capaian1!J33,"")</f>
        <v>B</v>
      </c>
      <c r="K35" s="255">
        <f>IF(Capaian1!K33&lt;&gt;"",Capaian1!K33,"")</f>
        <v>3.12</v>
      </c>
      <c r="L35" s="255">
        <f>IF(Capaian1!L33&lt;&gt;"",Capaian1!L33,"")</f>
        <v>3.2</v>
      </c>
      <c r="M35" s="255" t="str">
        <f>IF(Capaian1!M33&lt;&gt;"",Capaian1!M33,"")</f>
        <v>B</v>
      </c>
      <c r="N35" s="255">
        <f>IF(Capaian1!N33&lt;&gt;"",Capaian1!N33,"")</f>
        <v>2.827</v>
      </c>
      <c r="O35" s="255">
        <f>IF(Capaian1!O33&lt;&gt;"",Capaian1!O33,"")</f>
        <v>2.9493333333333336</v>
      </c>
      <c r="P35" s="255" t="str">
        <f>IF(Capaian1!P33&lt;&gt;"",Capaian1!P33,"")</f>
        <v>B</v>
      </c>
      <c r="Q35" s="255">
        <f>IF(Capaian1!Q33&lt;&gt;"",Capaian1!Q33,"")</f>
        <v>3.3519999999999999</v>
      </c>
      <c r="R35" s="255">
        <f>IF(Capaian1!R33&lt;&gt;"",Capaian1!R33,"")</f>
        <v>3.333333333333333</v>
      </c>
      <c r="S35" s="255" t="str">
        <f>IF(Capaian1!S33&lt;&gt;"",Capaian1!S33,"")</f>
        <v>B</v>
      </c>
      <c r="T35" s="255">
        <f>IF(Capaian1!T33&lt;&gt;"",Capaian1!T33,"")</f>
        <v>3.2639999999999998</v>
      </c>
      <c r="U35" s="255">
        <f>IF(Capaian1!U33&lt;&gt;"",Capaian1!U33,"")</f>
        <v>3.2239999999999998</v>
      </c>
      <c r="V35" s="255" t="str">
        <f>IF(Capaian1!V33&lt;&gt;"",Capaian1!V33,"")</f>
        <v>B</v>
      </c>
      <c r="W35" s="255">
        <f>IF(Capaian1!W33&lt;&gt;"",Capaian1!W33,"")</f>
        <v>3.2464</v>
      </c>
      <c r="X35" s="255">
        <f>IF(Capaian1!X33&lt;&gt;"",Capaian1!X33,"")</f>
        <v>3.2080000000000002</v>
      </c>
      <c r="Y35" s="255" t="str">
        <f>IF(Capaian1!Y33&lt;&gt;"",Capaian1!Y33,"")</f>
        <v>B</v>
      </c>
      <c r="Z35" s="255">
        <f>IF(Capaian1!Z33&lt;&gt;"",Capaian1!Z33,"")</f>
        <v>3.04</v>
      </c>
      <c r="AA35" s="255">
        <f>IF(Capaian1!AA33&lt;&gt;"",Capaian1!AA33,"")</f>
        <v>3.4339999999999997</v>
      </c>
      <c r="AB35" s="255" t="str">
        <f>IF(Capaian1!AB33&lt;&gt;"",Capaian1!AB33,"")</f>
        <v>B</v>
      </c>
      <c r="AC35" s="255">
        <f>IF(Capaian1!AC33&lt;&gt;"",Capaian1!AC33,"")</f>
        <v>3.1919999999999997</v>
      </c>
      <c r="AD35" s="255">
        <f>IF(Capaian1!AD33&lt;&gt;"",Capaian1!AD33,"")</f>
        <v>3.24</v>
      </c>
      <c r="AE35" s="255" t="str">
        <f>IF(Capaian1!AE33&lt;&gt;"",Capaian1!AE33,"")</f>
        <v>B</v>
      </c>
      <c r="AF35" s="255">
        <f>IF(Capaian1!AF33&lt;&gt;"",Capaian1!AF33,"")</f>
        <v>2.7942857142857145</v>
      </c>
      <c r="AG35" s="255">
        <f>IF(Capaian1!AG33&lt;&gt;"",Capaian1!AG33,"")</f>
        <v>3</v>
      </c>
      <c r="AH35" s="255" t="str">
        <f>IF(Capaian1!AH33&lt;&gt;"",Capaian1!AH33,"")</f>
        <v>B</v>
      </c>
      <c r="AI35" s="255">
        <f>IF(Capaian1!AI33&lt;&gt;"",Capaian1!AI33,"")</f>
        <v>3.04</v>
      </c>
      <c r="AJ35" s="255">
        <f>IF(Capaian1!AJ33&lt;&gt;"",Capaian1!AJ33,"")</f>
        <v>3.0720000000000005</v>
      </c>
      <c r="AK35" s="255" t="str">
        <f>IF(Capaian1!AK33&lt;&gt;"",Capaian1!AK33,"")</f>
        <v>B</v>
      </c>
      <c r="AL35" s="255" t="str">
        <f>IF(Capaian1!AL33&lt;&gt;"",Capaian1!AL33,"")</f>
        <v/>
      </c>
      <c r="AM35" s="255" t="str">
        <f>IF(Capaian1!AM33&lt;&gt;"",Capaian1!AM33,"")</f>
        <v/>
      </c>
      <c r="AN35" s="255" t="str">
        <f>IF(Capaian1!AN33&lt;&gt;"",Capaian1!AN33,"")</f>
        <v/>
      </c>
      <c r="AO35" s="255" t="str">
        <f>IF(Capaian1!AO33&lt;&gt;"",Capaian1!AO33,"")</f>
        <v/>
      </c>
      <c r="AP35" s="255" t="str">
        <f>IF(Capaian1!AP33&lt;&gt;"",Capaian1!AP33,"")</f>
        <v/>
      </c>
      <c r="AQ35" s="255" t="str">
        <f>IF(Capaian1!AQ33&lt;&gt;"",Capaian1!AQ33,"")</f>
        <v/>
      </c>
      <c r="AR35" s="255" t="str">
        <f>IF(Capaian1!AR33&lt;&gt;"",Capaian1!AR33,"")</f>
        <v/>
      </c>
      <c r="AS35" s="255" t="str">
        <f>IF(Capaian1!AS33&lt;&gt;"",Capaian1!AS33,"")</f>
        <v/>
      </c>
      <c r="AT35" s="255" t="str">
        <f>IF(Capaian1!AT33&lt;&gt;"",Capaian1!AT33,"")</f>
        <v/>
      </c>
      <c r="AU35" s="255" t="str">
        <f>IF(Capaian1!AU33&lt;&gt;"",Capaian1!AU33,"")</f>
        <v/>
      </c>
      <c r="AV35" s="255" t="str">
        <f>IF(Capaian1!AV33&lt;&gt;"",Capaian1!AV33,"")</f>
        <v/>
      </c>
      <c r="AW35" s="255" t="str">
        <f>IF(Capaian1!AW33&lt;&gt;"",Capaian1!AW33,"")</f>
        <v/>
      </c>
      <c r="AX35" s="255">
        <f>IF(Capaian1!AX33&lt;&gt;"",Capaian1!AX33,"")</f>
        <v>3.016</v>
      </c>
      <c r="AY35" s="255">
        <f>IF(Capaian1!AY33&lt;&gt;"",Capaian1!AY33,"")</f>
        <v>3.36</v>
      </c>
      <c r="AZ35" s="255" t="str">
        <f>IF(Capaian1!AZ33&lt;&gt;"",Capaian1!AZ33,"")</f>
        <v>B</v>
      </c>
      <c r="BA35" s="255">
        <f>IF(Capaian1!BA33&lt;&gt;"",Capaian1!BA33,"")</f>
        <v>3.1236000000000002</v>
      </c>
      <c r="BB35" s="255">
        <f>IF(Capaian1!BB33&lt;&gt;"",Capaian1!BB33,"")</f>
        <v>3.1680000000000001</v>
      </c>
      <c r="BC35" s="255" t="str">
        <f>IF(Capaian1!BC33&lt;&gt;"",Capaian1!BC33,"")</f>
        <v>B</v>
      </c>
      <c r="BD35" s="255">
        <f>IF(Capaian1!BD33&lt;&gt;"",Capaian1!BD33,"")</f>
        <v>3.198</v>
      </c>
      <c r="BE35" s="255">
        <f>IF(Capaian1!BE33&lt;&gt;"",Capaian1!BE33,"")</f>
        <v>3.2576000000000001</v>
      </c>
      <c r="BF35" s="255" t="str">
        <f>IF(Capaian1!BF33&lt;&gt;"",Capaian1!BF33,"")</f>
        <v>B</v>
      </c>
      <c r="BG35" s="255">
        <f>IF(Capaian1!BG33&lt;&gt;"",Capaian1!BG33,"")</f>
        <v>3.0613333333333332</v>
      </c>
      <c r="BH35" s="255">
        <f>IF(Capaian1!BH33&lt;&gt;"",Capaian1!BH33,"")</f>
        <v>3.1133333333333337</v>
      </c>
      <c r="BI35" s="255" t="str">
        <f>IF(Capaian1!BI33&lt;&gt;"",Capaian1!BI33,"")</f>
        <v>B</v>
      </c>
      <c r="BJ35" s="255">
        <f>IF(Capaian1!BJ33&lt;&gt;"",Capaian1!BJ33,"")</f>
        <v>2.92</v>
      </c>
      <c r="BK35" s="255">
        <f>IF(Capaian1!BK33&lt;&gt;"",Capaian1!BK33,"")</f>
        <v>2.95</v>
      </c>
      <c r="BL35" s="255" t="str">
        <f>IF(Capaian1!BL33&lt;&gt;"",Capaian1!BL33,"")</f>
        <v>B</v>
      </c>
      <c r="BM35" s="255" t="str">
        <f>IF(Capaian1!BP33&lt;&gt;"",Capaian1!BP33,"")</f>
        <v/>
      </c>
      <c r="BN35" s="255" t="str">
        <f>IF(Capaian1!BQ33&lt;&gt;"",Capaian1!BQ33,"")</f>
        <v/>
      </c>
      <c r="BO35" s="255" t="str">
        <f>IF(Capaian1!BR33&lt;&gt;"",Capaian1!BR33,"")</f>
        <v/>
      </c>
      <c r="BP35" s="255" t="str">
        <f>IF(Capaian1!BS33&lt;&gt;"",Capaian1!BS33,"")</f>
        <v/>
      </c>
      <c r="BQ35" s="255" t="str">
        <f>IF(Capaian1!BT33&lt;&gt;"",Capaian1!BT33,"")</f>
        <v/>
      </c>
      <c r="BR35" s="255" t="str">
        <f>IF(Capaian1!BU33&lt;&gt;"",Capaian1!BU33,"")</f>
        <v/>
      </c>
      <c r="BS35" s="255" t="str">
        <f>IF(Capaian1!BV33&lt;&gt;"",Capaian1!BV33,"")</f>
        <v/>
      </c>
      <c r="BT35" s="255" t="str">
        <f>IF(Capaian1!BW33&lt;&gt;"",Capaian1!BW33,"")</f>
        <v/>
      </c>
      <c r="BU35" s="255" t="str">
        <f>IF(Capaian1!BX33&lt;&gt;"",Capaian1!BX33,"")</f>
        <v/>
      </c>
      <c r="BV35" s="255">
        <f>IF(Capaian1!BM33&lt;&gt;"",Capaian1!BM33,"")</f>
        <v>3.2480000000000002</v>
      </c>
      <c r="BW35" s="255">
        <f>IF(Capaian1!BN33&lt;&gt;"",Capaian1!BN33,"")</f>
        <v>3.1880000000000002</v>
      </c>
      <c r="BX35" s="255" t="str">
        <f>IF(Capaian1!BO33&lt;&gt;"",Capaian1!BO33,"")</f>
        <v>B</v>
      </c>
      <c r="BY35" s="255" t="str">
        <f>IF(Capaian1!BP33&lt;&gt;"",Capaian1!BP33,"")</f>
        <v/>
      </c>
      <c r="BZ35" s="255" t="str">
        <f>IF(Capaian1!BQ33&lt;&gt;"",Capaian1!BQ33,"")</f>
        <v/>
      </c>
      <c r="CA35" s="255" t="str">
        <f>IF(Capaian1!BR33&lt;&gt;"",Capaian1!BR33,"")</f>
        <v/>
      </c>
      <c r="CB35" s="255" t="str">
        <f>IF(Capaian1!BS33&lt;&gt;"",Capaian1!BS33,"")</f>
        <v/>
      </c>
      <c r="CC35" s="255" t="str">
        <f>IF(Capaian1!BT33&lt;&gt;"",Capaian1!BT33,"")</f>
        <v/>
      </c>
      <c r="CD35" s="255" t="str">
        <f>IF(Capaian1!BU33&lt;&gt;"",Capaian1!BU33,"")</f>
        <v/>
      </c>
      <c r="CE35" s="255" t="str">
        <f>IF(Capaian1!BV33&lt;&gt;"",Capaian1!BV33,"")</f>
        <v/>
      </c>
      <c r="CF35" s="255" t="str">
        <f>IF(Capaian1!BW33&lt;&gt;"",Capaian1!BW33,"")</f>
        <v/>
      </c>
      <c r="CG35" s="255" t="str">
        <f>IF(Capaian1!BX33&lt;&gt;"",Capaian1!BX33,"")</f>
        <v/>
      </c>
      <c r="CH35" s="255" t="str">
        <f>IF(Capaian1!BY33&lt;&gt;"",Capaian1!BY33,"")</f>
        <v/>
      </c>
      <c r="CI35" s="255" t="str">
        <f>IF(Capaian1!BZ33&lt;&gt;"",Capaian1!BZ33,"")</f>
        <v/>
      </c>
      <c r="CJ35" s="255" t="str">
        <f>IF(Capaian1!CA33&lt;&gt;"",Capaian1!CA33,"")</f>
        <v/>
      </c>
      <c r="CK35" s="255" t="str">
        <f>IF(Capaian1!CB33&lt;&gt;"",Capaian1!CB33,"")</f>
        <v/>
      </c>
      <c r="CL35" s="255" t="str">
        <f>IF(Capaian1!CC33&lt;&gt;"",Capaian1!CC33,"")</f>
        <v/>
      </c>
      <c r="CM35" s="255" t="str">
        <f>IF(Capaian1!CD33&lt;&gt;"",Capaian1!CD33,"")</f>
        <v/>
      </c>
      <c r="CN35" s="255" t="str">
        <f>IF(Capaian1!CE33&lt;&gt;"",Capaian1!CE33,"")</f>
        <v/>
      </c>
      <c r="CO35" s="255" t="str">
        <f>IF(Capaian1!CF33&lt;&gt;"",Capaian1!CF33,"")</f>
        <v/>
      </c>
      <c r="CP35" s="255" t="str">
        <f>IF(Capaian1!CG33&lt;&gt;"",Capaian1!CG33,"")</f>
        <v/>
      </c>
      <c r="CQ35" s="255">
        <f>IF(Capaian1!CH33&lt;&gt;"",Capaian1!CH33,"")</f>
        <v>3.5066666666666664</v>
      </c>
      <c r="CR35" s="255">
        <f>IF(Capaian1!CI33&lt;&gt;"",Capaian1!CI33,"")</f>
        <v>3.54</v>
      </c>
      <c r="CS35" s="255" t="str">
        <f>IF(Capaian1!CJ33&lt;&gt;"",Capaian1!CJ33,"")</f>
        <v>B</v>
      </c>
      <c r="CT35" s="255" t="str">
        <f>IF(Capaian1!CK33&lt;&gt;"",Capaian1!CK33,"")</f>
        <v/>
      </c>
      <c r="CU35" s="255" t="str">
        <f>IF(Capaian1!CL33&lt;&gt;"",Capaian1!CL33,"")</f>
        <v/>
      </c>
      <c r="CV35" s="255" t="str">
        <f>IF(Capaian1!CM33&lt;&gt;"",Capaian1!CM33,"")</f>
        <v/>
      </c>
      <c r="CW35" s="255" t="str">
        <f>IF(Capaian1!CN33&lt;&gt;"",Capaian1!CN33,"")</f>
        <v>--</v>
      </c>
      <c r="CX35" s="255" t="str">
        <f>IF(Capaian1!CO33&lt;&gt;"",Capaian1!CO33,"")</f>
        <v/>
      </c>
      <c r="CY35" s="255" t="str">
        <f>IF(Capaian1!CP33&lt;&gt;"",Capaian1!CP33,"")</f>
        <v>--</v>
      </c>
      <c r="CZ35" s="255" t="str">
        <f>IF(Capaian1!CQ33&lt;&gt;"",Capaian1!CQ33,"")</f>
        <v/>
      </c>
      <c r="DA35" s="255">
        <f>IF(Capaian1!CR33&lt;&gt;"",Capaian1!CR33,"")</f>
        <v>2</v>
      </c>
      <c r="DB35" s="255">
        <f>IF(Capaian1!CS33&lt;&gt;"",Capaian1!CS33,"")</f>
        <v>0</v>
      </c>
      <c r="DC35" s="255">
        <f>IF(Capaian1!CT33&lt;&gt;"",Capaian1!CT33,"")</f>
        <v>1</v>
      </c>
    </row>
    <row r="36" spans="2:107" s="234" customFormat="1" x14ac:dyDescent="0.25">
      <c r="B36" s="238">
        <v>30</v>
      </c>
      <c r="C36" s="238" t="str">
        <f>Peserta_Didik!D32</f>
        <v>1314.10.136</v>
      </c>
      <c r="D36" s="238" t="str">
        <f>Peserta_Didik!C32</f>
        <v>Ramdan Rohadiat</v>
      </c>
      <c r="E36" s="255">
        <f>IF(Capaian1!E34&lt;&gt;"",Capaian1!E34,"")</f>
        <v>3.3360000000000003</v>
      </c>
      <c r="F36" s="255">
        <f>IF(Capaian1!F34&lt;&gt;"",Capaian1!F34,"")</f>
        <v>3.54</v>
      </c>
      <c r="G36" s="255" t="str">
        <f>IF(Capaian1!G34&lt;&gt;"",Capaian1!G34,"")</f>
        <v>B</v>
      </c>
      <c r="H36" s="255">
        <f>IF(Capaian1!H34&lt;&gt;"",Capaian1!H34,"")</f>
        <v>3.4</v>
      </c>
      <c r="I36" s="255">
        <f>IF(Capaian1!I34&lt;&gt;"",Capaian1!I34,"")</f>
        <v>3.39</v>
      </c>
      <c r="J36" s="255" t="str">
        <f>IF(Capaian1!J34&lt;&gt;"",Capaian1!J34,"")</f>
        <v>SB</v>
      </c>
      <c r="K36" s="255">
        <f>IF(Capaian1!K34&lt;&gt;"",Capaian1!K34,"")</f>
        <v>3.6719999999999997</v>
      </c>
      <c r="L36" s="255">
        <f>IF(Capaian1!L34&lt;&gt;"",Capaian1!L34,"")</f>
        <v>3.4</v>
      </c>
      <c r="M36" s="255" t="str">
        <f>IF(Capaian1!M34&lt;&gt;"",Capaian1!M34,"")</f>
        <v>B</v>
      </c>
      <c r="N36" s="255">
        <f>IF(Capaian1!N34&lt;&gt;"",Capaian1!N34,"")</f>
        <v>3.0508571428571427</v>
      </c>
      <c r="O36" s="255">
        <f>IF(Capaian1!O34&lt;&gt;"",Capaian1!O34,"")</f>
        <v>3.1996190476190476</v>
      </c>
      <c r="P36" s="255" t="str">
        <f>IF(Capaian1!P34&lt;&gt;"",Capaian1!P34,"")</f>
        <v>SB</v>
      </c>
      <c r="Q36" s="255">
        <f>IF(Capaian1!Q34&lt;&gt;"",Capaian1!Q34,"")</f>
        <v>3.38</v>
      </c>
      <c r="R36" s="255">
        <f>IF(Capaian1!R34&lt;&gt;"",Capaian1!R34,"")</f>
        <v>3.5333333333333332</v>
      </c>
      <c r="S36" s="255" t="str">
        <f>IF(Capaian1!S34&lt;&gt;"",Capaian1!S34,"")</f>
        <v>B</v>
      </c>
      <c r="T36" s="255">
        <f>IF(Capaian1!T34&lt;&gt;"",Capaian1!T34,"")</f>
        <v>3.2639999999999998</v>
      </c>
      <c r="U36" s="255">
        <f>IF(Capaian1!U34&lt;&gt;"",Capaian1!U34,"")</f>
        <v>3.2239999999999998</v>
      </c>
      <c r="V36" s="255" t="str">
        <f>IF(Capaian1!V34&lt;&gt;"",Capaian1!V34,"")</f>
        <v>B</v>
      </c>
      <c r="W36" s="255">
        <f>IF(Capaian1!W34&lt;&gt;"",Capaian1!W34,"")</f>
        <v>3.2080000000000002</v>
      </c>
      <c r="X36" s="255">
        <f>IF(Capaian1!X34&lt;&gt;"",Capaian1!X34,"")</f>
        <v>3.2080000000000002</v>
      </c>
      <c r="Y36" s="255" t="str">
        <f>IF(Capaian1!Y34&lt;&gt;"",Capaian1!Y34,"")</f>
        <v>B</v>
      </c>
      <c r="Z36" s="255">
        <f>IF(Capaian1!Z34&lt;&gt;"",Capaian1!Z34,"")</f>
        <v>3.36</v>
      </c>
      <c r="AA36" s="255">
        <f>IF(Capaian1!AA34&lt;&gt;"",Capaian1!AA34,"")</f>
        <v>3.4580000000000002</v>
      </c>
      <c r="AB36" s="255" t="str">
        <f>IF(Capaian1!AB34&lt;&gt;"",Capaian1!AB34,"")</f>
        <v>B</v>
      </c>
      <c r="AC36" s="255">
        <f>IF(Capaian1!AC34&lt;&gt;"",Capaian1!AC34,"")</f>
        <v>3.2</v>
      </c>
      <c r="AD36" s="255">
        <f>IF(Capaian1!AD34&lt;&gt;"",Capaian1!AD34,"")</f>
        <v>3.28</v>
      </c>
      <c r="AE36" s="255" t="str">
        <f>IF(Capaian1!AE34&lt;&gt;"",Capaian1!AE34,"")</f>
        <v>B</v>
      </c>
      <c r="AF36" s="255">
        <f>IF(Capaian1!AF34&lt;&gt;"",Capaian1!AF34,"")</f>
        <v>3.2610000000000001</v>
      </c>
      <c r="AG36" s="255">
        <f>IF(Capaian1!AG34&lt;&gt;"",Capaian1!AG34,"")</f>
        <v>3.22</v>
      </c>
      <c r="AH36" s="255" t="str">
        <f>IF(Capaian1!AH34&lt;&gt;"",Capaian1!AH34,"")</f>
        <v>SB</v>
      </c>
      <c r="AI36" s="255">
        <f>IF(Capaian1!AI34&lt;&gt;"",Capaian1!AI34,"")</f>
        <v>3.2040000000000002</v>
      </c>
      <c r="AJ36" s="255">
        <f>IF(Capaian1!AJ34&lt;&gt;"",Capaian1!AJ34,"")</f>
        <v>3.2080000000000002</v>
      </c>
      <c r="AK36" s="255" t="str">
        <f>IF(Capaian1!AK34&lt;&gt;"",Capaian1!AK34,"")</f>
        <v>B</v>
      </c>
      <c r="AL36" s="255" t="str">
        <f>IF(Capaian1!AL34&lt;&gt;"",Capaian1!AL34,"")</f>
        <v/>
      </c>
      <c r="AM36" s="255" t="str">
        <f>IF(Capaian1!AM34&lt;&gt;"",Capaian1!AM34,"")</f>
        <v/>
      </c>
      <c r="AN36" s="255" t="str">
        <f>IF(Capaian1!AN34&lt;&gt;"",Capaian1!AN34,"")</f>
        <v/>
      </c>
      <c r="AO36" s="255" t="str">
        <f>IF(Capaian1!AO34&lt;&gt;"",Capaian1!AO34,"")</f>
        <v/>
      </c>
      <c r="AP36" s="255" t="str">
        <f>IF(Capaian1!AP34&lt;&gt;"",Capaian1!AP34,"")</f>
        <v/>
      </c>
      <c r="AQ36" s="255" t="str">
        <f>IF(Capaian1!AQ34&lt;&gt;"",Capaian1!AQ34,"")</f>
        <v/>
      </c>
      <c r="AR36" s="255" t="str">
        <f>IF(Capaian1!AR34&lt;&gt;"",Capaian1!AR34,"")</f>
        <v/>
      </c>
      <c r="AS36" s="255" t="str">
        <f>IF(Capaian1!AS34&lt;&gt;"",Capaian1!AS34,"")</f>
        <v/>
      </c>
      <c r="AT36" s="255" t="str">
        <f>IF(Capaian1!AT34&lt;&gt;"",Capaian1!AT34,"")</f>
        <v/>
      </c>
      <c r="AU36" s="255" t="str">
        <f>IF(Capaian1!AU34&lt;&gt;"",Capaian1!AU34,"")</f>
        <v/>
      </c>
      <c r="AV36" s="255" t="str">
        <f>IF(Capaian1!AV34&lt;&gt;"",Capaian1!AV34,"")</f>
        <v/>
      </c>
      <c r="AW36" s="255" t="str">
        <f>IF(Capaian1!AW34&lt;&gt;"",Capaian1!AW34,"")</f>
        <v/>
      </c>
      <c r="AX36" s="255">
        <f>IF(Capaian1!AX34&lt;&gt;"",Capaian1!AX34,"")</f>
        <v>3.4</v>
      </c>
      <c r="AY36" s="255">
        <f>IF(Capaian1!AY34&lt;&gt;"",Capaian1!AY34,"")</f>
        <v>3.39</v>
      </c>
      <c r="AZ36" s="255" t="str">
        <f>IF(Capaian1!AZ34&lt;&gt;"",Capaian1!AZ34,"")</f>
        <v>SB</v>
      </c>
      <c r="BA36" s="255">
        <f>IF(Capaian1!BA34&lt;&gt;"",Capaian1!BA34,"")</f>
        <v>3.12</v>
      </c>
      <c r="BB36" s="255">
        <f>IF(Capaian1!BB34&lt;&gt;"",Capaian1!BB34,"")</f>
        <v>3.2080000000000002</v>
      </c>
      <c r="BC36" s="255" t="str">
        <f>IF(Capaian1!BC34&lt;&gt;"",Capaian1!BC34,"")</f>
        <v>B</v>
      </c>
      <c r="BD36" s="255">
        <f>IF(Capaian1!BD34&lt;&gt;"",Capaian1!BD34,"")</f>
        <v>3.2319999999999998</v>
      </c>
      <c r="BE36" s="255">
        <f>IF(Capaian1!BE34&lt;&gt;"",Capaian1!BE34,"")</f>
        <v>3.3163999999999998</v>
      </c>
      <c r="BF36" s="255" t="str">
        <f>IF(Capaian1!BF34&lt;&gt;"",Capaian1!BF34,"")</f>
        <v>B</v>
      </c>
      <c r="BG36" s="255">
        <f>IF(Capaian1!BG34&lt;&gt;"",Capaian1!BG34,"")</f>
        <v>2.9813333333333332</v>
      </c>
      <c r="BH36" s="255">
        <f>IF(Capaian1!BH34&lt;&gt;"",Capaian1!BH34,"")</f>
        <v>2.9133333333333336</v>
      </c>
      <c r="BI36" s="255" t="str">
        <f>IF(Capaian1!BI34&lt;&gt;"",Capaian1!BI34,"")</f>
        <v>B</v>
      </c>
      <c r="BJ36" s="255">
        <f>IF(Capaian1!BJ34&lt;&gt;"",Capaian1!BJ34,"")</f>
        <v>2.92</v>
      </c>
      <c r="BK36" s="255">
        <f>IF(Capaian1!BK34&lt;&gt;"",Capaian1!BK34,"")</f>
        <v>3.25</v>
      </c>
      <c r="BL36" s="255" t="str">
        <f>IF(Capaian1!BL34&lt;&gt;"",Capaian1!BL34,"")</f>
        <v>B</v>
      </c>
      <c r="BM36" s="255" t="str">
        <f>IF(Capaian1!BP34&lt;&gt;"",Capaian1!BP34,"")</f>
        <v/>
      </c>
      <c r="BN36" s="255" t="str">
        <f>IF(Capaian1!BQ34&lt;&gt;"",Capaian1!BQ34,"")</f>
        <v/>
      </c>
      <c r="BO36" s="255" t="str">
        <f>IF(Capaian1!BR34&lt;&gt;"",Capaian1!BR34,"")</f>
        <v/>
      </c>
      <c r="BP36" s="255" t="str">
        <f>IF(Capaian1!BS34&lt;&gt;"",Capaian1!BS34,"")</f>
        <v/>
      </c>
      <c r="BQ36" s="255" t="str">
        <f>IF(Capaian1!BT34&lt;&gt;"",Capaian1!BT34,"")</f>
        <v/>
      </c>
      <c r="BR36" s="255" t="str">
        <f>IF(Capaian1!BU34&lt;&gt;"",Capaian1!BU34,"")</f>
        <v/>
      </c>
      <c r="BS36" s="255" t="str">
        <f>IF(Capaian1!BV34&lt;&gt;"",Capaian1!BV34,"")</f>
        <v/>
      </c>
      <c r="BT36" s="255" t="str">
        <f>IF(Capaian1!BW34&lt;&gt;"",Capaian1!BW34,"")</f>
        <v/>
      </c>
      <c r="BU36" s="255" t="str">
        <f>IF(Capaian1!BX34&lt;&gt;"",Capaian1!BX34,"")</f>
        <v/>
      </c>
      <c r="BV36" s="255">
        <f>IF(Capaian1!BM34&lt;&gt;"",Capaian1!BM34,"")</f>
        <v>3.3879999999999999</v>
      </c>
      <c r="BW36" s="255">
        <f>IF(Capaian1!BN34&lt;&gt;"",Capaian1!BN34,"")</f>
        <v>3.2160000000000002</v>
      </c>
      <c r="BX36" s="255" t="str">
        <f>IF(Capaian1!BO34&lt;&gt;"",Capaian1!BO34,"")</f>
        <v>B</v>
      </c>
      <c r="BY36" s="255" t="str">
        <f>IF(Capaian1!BP34&lt;&gt;"",Capaian1!BP34,"")</f>
        <v/>
      </c>
      <c r="BZ36" s="255" t="str">
        <f>IF(Capaian1!BQ34&lt;&gt;"",Capaian1!BQ34,"")</f>
        <v/>
      </c>
      <c r="CA36" s="255" t="str">
        <f>IF(Capaian1!BR34&lt;&gt;"",Capaian1!BR34,"")</f>
        <v/>
      </c>
      <c r="CB36" s="255" t="str">
        <f>IF(Capaian1!BS34&lt;&gt;"",Capaian1!BS34,"")</f>
        <v/>
      </c>
      <c r="CC36" s="255" t="str">
        <f>IF(Capaian1!BT34&lt;&gt;"",Capaian1!BT34,"")</f>
        <v/>
      </c>
      <c r="CD36" s="255" t="str">
        <f>IF(Capaian1!BU34&lt;&gt;"",Capaian1!BU34,"")</f>
        <v/>
      </c>
      <c r="CE36" s="255" t="str">
        <f>IF(Capaian1!BV34&lt;&gt;"",Capaian1!BV34,"")</f>
        <v/>
      </c>
      <c r="CF36" s="255" t="str">
        <f>IF(Capaian1!BW34&lt;&gt;"",Capaian1!BW34,"")</f>
        <v/>
      </c>
      <c r="CG36" s="255" t="str">
        <f>IF(Capaian1!BX34&lt;&gt;"",Capaian1!BX34,"")</f>
        <v/>
      </c>
      <c r="CH36" s="255" t="str">
        <f>IF(Capaian1!BY34&lt;&gt;"",Capaian1!BY34,"")</f>
        <v/>
      </c>
      <c r="CI36" s="255" t="str">
        <f>IF(Capaian1!BZ34&lt;&gt;"",Capaian1!BZ34,"")</f>
        <v/>
      </c>
      <c r="CJ36" s="255" t="str">
        <f>IF(Capaian1!CA34&lt;&gt;"",Capaian1!CA34,"")</f>
        <v/>
      </c>
      <c r="CK36" s="255" t="str">
        <f>IF(Capaian1!CB34&lt;&gt;"",Capaian1!CB34,"")</f>
        <v/>
      </c>
      <c r="CL36" s="255" t="str">
        <f>IF(Capaian1!CC34&lt;&gt;"",Capaian1!CC34,"")</f>
        <v/>
      </c>
      <c r="CM36" s="255" t="str">
        <f>IF(Capaian1!CD34&lt;&gt;"",Capaian1!CD34,"")</f>
        <v/>
      </c>
      <c r="CN36" s="255" t="str">
        <f>IF(Capaian1!CE34&lt;&gt;"",Capaian1!CE34,"")</f>
        <v/>
      </c>
      <c r="CO36" s="255" t="str">
        <f>IF(Capaian1!CF34&lt;&gt;"",Capaian1!CF34,"")</f>
        <v/>
      </c>
      <c r="CP36" s="255" t="str">
        <f>IF(Capaian1!CG34&lt;&gt;"",Capaian1!CG34,"")</f>
        <v/>
      </c>
      <c r="CQ36" s="255">
        <f>IF(Capaian1!CH34&lt;&gt;"",Capaian1!CH34,"")</f>
        <v>3.4</v>
      </c>
      <c r="CR36" s="255">
        <f>IF(Capaian1!CI34&lt;&gt;"",Capaian1!CI34,"")</f>
        <v>3.5</v>
      </c>
      <c r="CS36" s="255" t="str">
        <f>IF(Capaian1!CJ34&lt;&gt;"",Capaian1!CJ34,"")</f>
        <v>B</v>
      </c>
      <c r="CT36" s="255" t="str">
        <f>IF(Capaian1!CK34&lt;&gt;"",Capaian1!CK34,"")</f>
        <v/>
      </c>
      <c r="CU36" s="255" t="str">
        <f>IF(Capaian1!CL34&lt;&gt;"",Capaian1!CL34,"")</f>
        <v/>
      </c>
      <c r="CV36" s="255" t="str">
        <f>IF(Capaian1!CM34&lt;&gt;"",Capaian1!CM34,"")</f>
        <v/>
      </c>
      <c r="CW36" s="255" t="str">
        <f>IF(Capaian1!CN34&lt;&gt;"",Capaian1!CN34,"")</f>
        <v>--</v>
      </c>
      <c r="CX36" s="255" t="str">
        <f>IF(Capaian1!CO34&lt;&gt;"",Capaian1!CO34,"")</f>
        <v/>
      </c>
      <c r="CY36" s="255" t="str">
        <f>IF(Capaian1!CP34&lt;&gt;"",Capaian1!CP34,"")</f>
        <v>FUTSAL</v>
      </c>
      <c r="CZ36" s="255" t="str">
        <f>IF(Capaian1!CQ34&lt;&gt;"",Capaian1!CQ34,"")</f>
        <v/>
      </c>
      <c r="DA36" s="255">
        <f>IF(Capaian1!CR34&lt;&gt;"",Capaian1!CR34,"")</f>
        <v>0</v>
      </c>
      <c r="DB36" s="255">
        <f>IF(Capaian1!CS34&lt;&gt;"",Capaian1!CS34,"")</f>
        <v>1</v>
      </c>
      <c r="DC36" s="255">
        <f>IF(Capaian1!CT34&lt;&gt;"",Capaian1!CT34,"")</f>
        <v>0</v>
      </c>
    </row>
    <row r="37" spans="2:107" s="234" customFormat="1" x14ac:dyDescent="0.25">
      <c r="B37" s="238">
        <v>31</v>
      </c>
      <c r="C37" s="238" t="str">
        <f>Peserta_Didik!D33</f>
        <v>1314.10.137</v>
      </c>
      <c r="D37" s="238" t="str">
        <f>Peserta_Didik!C33</f>
        <v>Reza Lesmana Budiman</v>
      </c>
      <c r="E37" s="255">
        <f>IF(Capaian1!E35&lt;&gt;"",Capaian1!E35,"")</f>
        <v>3.3199999999999994</v>
      </c>
      <c r="F37" s="255">
        <f>IF(Capaian1!F35&lt;&gt;"",Capaian1!F35,"")</f>
        <v>3.4</v>
      </c>
      <c r="G37" s="255" t="str">
        <f>IF(Capaian1!G35&lt;&gt;"",Capaian1!G35,"")</f>
        <v>B</v>
      </c>
      <c r="H37" s="255">
        <f>IF(Capaian1!H35&lt;&gt;"",Capaian1!H35,"")</f>
        <v>3.2239999999999998</v>
      </c>
      <c r="I37" s="255">
        <f>IF(Capaian1!I35&lt;&gt;"",Capaian1!I35,"")</f>
        <v>3.4</v>
      </c>
      <c r="J37" s="255" t="str">
        <f>IF(Capaian1!J35&lt;&gt;"",Capaian1!J35,"")</f>
        <v>B</v>
      </c>
      <c r="K37" s="255">
        <f>IF(Capaian1!K35&lt;&gt;"",Capaian1!K35,"")</f>
        <v>3.3439999999999999</v>
      </c>
      <c r="L37" s="255">
        <f>IF(Capaian1!L35&lt;&gt;"",Capaian1!L35,"")</f>
        <v>3.4</v>
      </c>
      <c r="M37" s="255" t="str">
        <f>IF(Capaian1!M35&lt;&gt;"",Capaian1!M35,"")</f>
        <v>B</v>
      </c>
      <c r="N37" s="255">
        <f>IF(Capaian1!N35&lt;&gt;"",Capaian1!N35,"")</f>
        <v>2.7011428571428571</v>
      </c>
      <c r="O37" s="255">
        <f>IF(Capaian1!O35&lt;&gt;"",Capaian1!O35,"")</f>
        <v>2.8403809523809525</v>
      </c>
      <c r="P37" s="255" t="str">
        <f>IF(Capaian1!P35&lt;&gt;"",Capaian1!P35,"")</f>
        <v>B</v>
      </c>
      <c r="Q37" s="255">
        <f>IF(Capaian1!Q35&lt;&gt;"",Capaian1!Q35,"")</f>
        <v>3.1</v>
      </c>
      <c r="R37" s="255">
        <f>IF(Capaian1!R35&lt;&gt;"",Capaian1!R35,"")</f>
        <v>3.2</v>
      </c>
      <c r="S37" s="255" t="str">
        <f>IF(Capaian1!S35&lt;&gt;"",Capaian1!S35,"")</f>
        <v>B</v>
      </c>
      <c r="T37" s="255">
        <f>IF(Capaian1!T35&lt;&gt;"",Capaian1!T35,"")</f>
        <v>3.2639999999999998</v>
      </c>
      <c r="U37" s="255">
        <f>IF(Capaian1!U35&lt;&gt;"",Capaian1!U35,"")</f>
        <v>3.2239999999999998</v>
      </c>
      <c r="V37" s="255" t="str">
        <f>IF(Capaian1!V35&lt;&gt;"",Capaian1!V35,"")</f>
        <v>B</v>
      </c>
      <c r="W37" s="255">
        <f>IF(Capaian1!W35&lt;&gt;"",Capaian1!W35,"")</f>
        <v>3.2544</v>
      </c>
      <c r="X37" s="255">
        <f>IF(Capaian1!X35&lt;&gt;"",Capaian1!X35,"")</f>
        <v>3.2160000000000002</v>
      </c>
      <c r="Y37" s="255" t="str">
        <f>IF(Capaian1!Y35&lt;&gt;"",Capaian1!Y35,"")</f>
        <v>B</v>
      </c>
      <c r="Z37" s="255">
        <f>IF(Capaian1!Z35&lt;&gt;"",Capaian1!Z35,"")</f>
        <v>3.04</v>
      </c>
      <c r="AA37" s="255">
        <f>IF(Capaian1!AA35&lt;&gt;"",Capaian1!AA35,"")</f>
        <v>3.1930000000000001</v>
      </c>
      <c r="AB37" s="255" t="str">
        <f>IF(Capaian1!AB35&lt;&gt;"",Capaian1!AB35,"")</f>
        <v>B</v>
      </c>
      <c r="AC37" s="255">
        <f>IF(Capaian1!AC35&lt;&gt;"",Capaian1!AC35,"")</f>
        <v>3.2</v>
      </c>
      <c r="AD37" s="255">
        <f>IF(Capaian1!AD35&lt;&gt;"",Capaian1!AD35,"")</f>
        <v>3.28</v>
      </c>
      <c r="AE37" s="255" t="str">
        <f>IF(Capaian1!AE35&lt;&gt;"",Capaian1!AE35,"")</f>
        <v>B</v>
      </c>
      <c r="AF37" s="255">
        <f>IF(Capaian1!AF35&lt;&gt;"",Capaian1!AF35,"")</f>
        <v>2.8839999999999999</v>
      </c>
      <c r="AG37" s="255">
        <f>IF(Capaian1!AG35&lt;&gt;"",Capaian1!AG35,"")</f>
        <v>3.1</v>
      </c>
      <c r="AH37" s="255" t="str">
        <f>IF(Capaian1!AH35&lt;&gt;"",Capaian1!AH35,"")</f>
        <v>B</v>
      </c>
      <c r="AI37" s="255">
        <f>IF(Capaian1!AI35&lt;&gt;"",Capaian1!AI35,"")</f>
        <v>3.08</v>
      </c>
      <c r="AJ37" s="255">
        <f>IF(Capaian1!AJ35&lt;&gt;"",Capaian1!AJ35,"")</f>
        <v>3.2080000000000002</v>
      </c>
      <c r="AK37" s="255" t="str">
        <f>IF(Capaian1!AK35&lt;&gt;"",Capaian1!AK35,"")</f>
        <v>B</v>
      </c>
      <c r="AL37" s="255" t="str">
        <f>IF(Capaian1!AL35&lt;&gt;"",Capaian1!AL35,"")</f>
        <v/>
      </c>
      <c r="AM37" s="255" t="str">
        <f>IF(Capaian1!AM35&lt;&gt;"",Capaian1!AM35,"")</f>
        <v/>
      </c>
      <c r="AN37" s="255" t="str">
        <f>IF(Capaian1!AN35&lt;&gt;"",Capaian1!AN35,"")</f>
        <v/>
      </c>
      <c r="AO37" s="255" t="str">
        <f>IF(Capaian1!AO35&lt;&gt;"",Capaian1!AO35,"")</f>
        <v/>
      </c>
      <c r="AP37" s="255" t="str">
        <f>IF(Capaian1!AP35&lt;&gt;"",Capaian1!AP35,"")</f>
        <v/>
      </c>
      <c r="AQ37" s="255" t="str">
        <f>IF(Capaian1!AQ35&lt;&gt;"",Capaian1!AQ35,"")</f>
        <v/>
      </c>
      <c r="AR37" s="255" t="str">
        <f>IF(Capaian1!AR35&lt;&gt;"",Capaian1!AR35,"")</f>
        <v/>
      </c>
      <c r="AS37" s="255" t="str">
        <f>IF(Capaian1!AS35&lt;&gt;"",Capaian1!AS35,"")</f>
        <v/>
      </c>
      <c r="AT37" s="255" t="str">
        <f>IF(Capaian1!AT35&lt;&gt;"",Capaian1!AT35,"")</f>
        <v/>
      </c>
      <c r="AU37" s="255" t="str">
        <f>IF(Capaian1!AU35&lt;&gt;"",Capaian1!AU35,"")</f>
        <v/>
      </c>
      <c r="AV37" s="255" t="str">
        <f>IF(Capaian1!AV35&lt;&gt;"",Capaian1!AV35,"")</f>
        <v/>
      </c>
      <c r="AW37" s="255" t="str">
        <f>IF(Capaian1!AW35&lt;&gt;"",Capaian1!AW35,"")</f>
        <v/>
      </c>
      <c r="AX37" s="255">
        <f>IF(Capaian1!AX35&lt;&gt;"",Capaian1!AX35,"")</f>
        <v>3.2239999999999998</v>
      </c>
      <c r="AY37" s="255">
        <f>IF(Capaian1!AY35&lt;&gt;"",Capaian1!AY35,"")</f>
        <v>3.4</v>
      </c>
      <c r="AZ37" s="255" t="str">
        <f>IF(Capaian1!AZ35&lt;&gt;"",Capaian1!AZ35,"")</f>
        <v>B</v>
      </c>
      <c r="BA37" s="255">
        <f>IF(Capaian1!BA35&lt;&gt;"",Capaian1!BA35,"")</f>
        <v>3.14</v>
      </c>
      <c r="BB37" s="255">
        <f>IF(Capaian1!BB35&lt;&gt;"",Capaian1!BB35,"")</f>
        <v>3.2080000000000002</v>
      </c>
      <c r="BC37" s="255" t="str">
        <f>IF(Capaian1!BC35&lt;&gt;"",Capaian1!BC35,"")</f>
        <v>B</v>
      </c>
      <c r="BD37" s="255">
        <f>IF(Capaian1!BD35&lt;&gt;"",Capaian1!BD35,"")</f>
        <v>3.1579999999999999</v>
      </c>
      <c r="BE37" s="255">
        <f>IF(Capaian1!BE35&lt;&gt;"",Capaian1!BE35,"")</f>
        <v>3.2</v>
      </c>
      <c r="BF37" s="255" t="str">
        <f>IF(Capaian1!BF35&lt;&gt;"",Capaian1!BF35,"")</f>
        <v>B</v>
      </c>
      <c r="BG37" s="255">
        <f>IF(Capaian1!BG35&lt;&gt;"",Capaian1!BG35,"")</f>
        <v>2.9813333333333332</v>
      </c>
      <c r="BH37" s="255">
        <f>IF(Capaian1!BH35&lt;&gt;"",Capaian1!BH35,"")</f>
        <v>2.9133333333333336</v>
      </c>
      <c r="BI37" s="255" t="str">
        <f>IF(Capaian1!BI35&lt;&gt;"",Capaian1!BI35,"")</f>
        <v>B</v>
      </c>
      <c r="BJ37" s="255">
        <f>IF(Capaian1!BJ35&lt;&gt;"",Capaian1!BJ35,"")</f>
        <v>2.88</v>
      </c>
      <c r="BK37" s="255">
        <f>IF(Capaian1!BK35&lt;&gt;"",Capaian1!BK35,"")</f>
        <v>2.9</v>
      </c>
      <c r="BL37" s="255" t="str">
        <f>IF(Capaian1!BL35&lt;&gt;"",Capaian1!BL35,"")</f>
        <v>B</v>
      </c>
      <c r="BM37" s="255" t="str">
        <f>IF(Capaian1!BP35&lt;&gt;"",Capaian1!BP35,"")</f>
        <v/>
      </c>
      <c r="BN37" s="255" t="str">
        <f>IF(Capaian1!BQ35&lt;&gt;"",Capaian1!BQ35,"")</f>
        <v/>
      </c>
      <c r="BO37" s="255" t="str">
        <f>IF(Capaian1!BR35&lt;&gt;"",Capaian1!BR35,"")</f>
        <v/>
      </c>
      <c r="BP37" s="255" t="str">
        <f>IF(Capaian1!BS35&lt;&gt;"",Capaian1!BS35,"")</f>
        <v/>
      </c>
      <c r="BQ37" s="255" t="str">
        <f>IF(Capaian1!BT35&lt;&gt;"",Capaian1!BT35,"")</f>
        <v/>
      </c>
      <c r="BR37" s="255" t="str">
        <f>IF(Capaian1!BU35&lt;&gt;"",Capaian1!BU35,"")</f>
        <v/>
      </c>
      <c r="BS37" s="255" t="str">
        <f>IF(Capaian1!BV35&lt;&gt;"",Capaian1!BV35,"")</f>
        <v/>
      </c>
      <c r="BT37" s="255" t="str">
        <f>IF(Capaian1!BW35&lt;&gt;"",Capaian1!BW35,"")</f>
        <v/>
      </c>
      <c r="BU37" s="255" t="str">
        <f>IF(Capaian1!BX35&lt;&gt;"",Capaian1!BX35,"")</f>
        <v/>
      </c>
      <c r="BV37" s="255">
        <f>IF(Capaian1!BM35&lt;&gt;"",Capaian1!BM35,"")</f>
        <v>3.1680000000000001</v>
      </c>
      <c r="BW37" s="255">
        <f>IF(Capaian1!BN35&lt;&gt;"",Capaian1!BN35,"")</f>
        <v>3.23</v>
      </c>
      <c r="BX37" s="255" t="str">
        <f>IF(Capaian1!BO35&lt;&gt;"",Capaian1!BO35,"")</f>
        <v>B</v>
      </c>
      <c r="BY37" s="255" t="str">
        <f>IF(Capaian1!BP35&lt;&gt;"",Capaian1!BP35,"")</f>
        <v/>
      </c>
      <c r="BZ37" s="255" t="str">
        <f>IF(Capaian1!BQ35&lt;&gt;"",Capaian1!BQ35,"")</f>
        <v/>
      </c>
      <c r="CA37" s="255" t="str">
        <f>IF(Capaian1!BR35&lt;&gt;"",Capaian1!BR35,"")</f>
        <v/>
      </c>
      <c r="CB37" s="255" t="str">
        <f>IF(Capaian1!BS35&lt;&gt;"",Capaian1!BS35,"")</f>
        <v/>
      </c>
      <c r="CC37" s="255" t="str">
        <f>IF(Capaian1!BT35&lt;&gt;"",Capaian1!BT35,"")</f>
        <v/>
      </c>
      <c r="CD37" s="255" t="str">
        <f>IF(Capaian1!BU35&lt;&gt;"",Capaian1!BU35,"")</f>
        <v/>
      </c>
      <c r="CE37" s="255" t="str">
        <f>IF(Capaian1!BV35&lt;&gt;"",Capaian1!BV35,"")</f>
        <v/>
      </c>
      <c r="CF37" s="255" t="str">
        <f>IF(Capaian1!BW35&lt;&gt;"",Capaian1!BW35,"")</f>
        <v/>
      </c>
      <c r="CG37" s="255" t="str">
        <f>IF(Capaian1!BX35&lt;&gt;"",Capaian1!BX35,"")</f>
        <v/>
      </c>
      <c r="CH37" s="255" t="str">
        <f>IF(Capaian1!BY35&lt;&gt;"",Capaian1!BY35,"")</f>
        <v/>
      </c>
      <c r="CI37" s="255" t="str">
        <f>IF(Capaian1!BZ35&lt;&gt;"",Capaian1!BZ35,"")</f>
        <v/>
      </c>
      <c r="CJ37" s="255" t="str">
        <f>IF(Capaian1!CA35&lt;&gt;"",Capaian1!CA35,"")</f>
        <v/>
      </c>
      <c r="CK37" s="255" t="str">
        <f>IF(Capaian1!CB35&lt;&gt;"",Capaian1!CB35,"")</f>
        <v/>
      </c>
      <c r="CL37" s="255" t="str">
        <f>IF(Capaian1!CC35&lt;&gt;"",Capaian1!CC35,"")</f>
        <v/>
      </c>
      <c r="CM37" s="255" t="str">
        <f>IF(Capaian1!CD35&lt;&gt;"",Capaian1!CD35,"")</f>
        <v/>
      </c>
      <c r="CN37" s="255" t="str">
        <f>IF(Capaian1!CE35&lt;&gt;"",Capaian1!CE35,"")</f>
        <v/>
      </c>
      <c r="CO37" s="255" t="str">
        <f>IF(Capaian1!CF35&lt;&gt;"",Capaian1!CF35,"")</f>
        <v/>
      </c>
      <c r="CP37" s="255" t="str">
        <f>IF(Capaian1!CG35&lt;&gt;"",Capaian1!CG35,"")</f>
        <v/>
      </c>
      <c r="CQ37" s="255">
        <f>IF(Capaian1!CH35&lt;&gt;"",Capaian1!CH35,"")</f>
        <v>3.36</v>
      </c>
      <c r="CR37" s="255">
        <f>IF(Capaian1!CI35&lt;&gt;"",Capaian1!CI35,"")</f>
        <v>3.54</v>
      </c>
      <c r="CS37" s="255" t="str">
        <f>IF(Capaian1!CJ35&lt;&gt;"",Capaian1!CJ35,"")</f>
        <v>B</v>
      </c>
      <c r="CT37" s="255" t="str">
        <f>IF(Capaian1!CK35&lt;&gt;"",Capaian1!CK35,"")</f>
        <v/>
      </c>
      <c r="CU37" s="255" t="str">
        <f>IF(Capaian1!CL35&lt;&gt;"",Capaian1!CL35,"")</f>
        <v/>
      </c>
      <c r="CV37" s="255" t="str">
        <f>IF(Capaian1!CM35&lt;&gt;"",Capaian1!CM35,"")</f>
        <v/>
      </c>
      <c r="CW37" s="255" t="str">
        <f>IF(Capaian1!CN35&lt;&gt;"",Capaian1!CN35,"")</f>
        <v>--</v>
      </c>
      <c r="CX37" s="255" t="str">
        <f>IF(Capaian1!CO35&lt;&gt;"",Capaian1!CO35,"")</f>
        <v/>
      </c>
      <c r="CY37" s="255" t="str">
        <f>IF(Capaian1!CP35&lt;&gt;"",Capaian1!CP35,"")</f>
        <v>--</v>
      </c>
      <c r="CZ37" s="255" t="str">
        <f>IF(Capaian1!CQ35&lt;&gt;"",Capaian1!CQ35,"")</f>
        <v/>
      </c>
      <c r="DA37" s="255">
        <f>IF(Capaian1!CR35&lt;&gt;"",Capaian1!CR35,"")</f>
        <v>0</v>
      </c>
      <c r="DB37" s="255">
        <f>IF(Capaian1!CS35&lt;&gt;"",Capaian1!CS35,"")</f>
        <v>2</v>
      </c>
      <c r="DC37" s="255">
        <f>IF(Capaian1!CT35&lt;&gt;"",Capaian1!CT35,"")</f>
        <v>1</v>
      </c>
    </row>
    <row r="38" spans="2:107" s="234" customFormat="1" x14ac:dyDescent="0.25">
      <c r="B38" s="238">
        <v>32</v>
      </c>
      <c r="C38" s="238" t="str">
        <f>Peserta_Didik!D34</f>
        <v>1314.10.138</v>
      </c>
      <c r="D38" s="238" t="str">
        <f>Peserta_Didik!C34</f>
        <v>Septhi Tsaltsah Rosulani</v>
      </c>
      <c r="E38" s="255">
        <f>IF(Capaian1!E36&lt;&gt;"",Capaian1!E36,"")</f>
        <v>3.3760000000000003</v>
      </c>
      <c r="F38" s="255">
        <f>IF(Capaian1!F36&lt;&gt;"",Capaian1!F36,"")</f>
        <v>3.54</v>
      </c>
      <c r="G38" s="255" t="str">
        <f>IF(Capaian1!G36&lt;&gt;"",Capaian1!G36,"")</f>
        <v>SB</v>
      </c>
      <c r="H38" s="255">
        <f>IF(Capaian1!H36&lt;&gt;"",Capaian1!H36,"")</f>
        <v>3.3039999999999998</v>
      </c>
      <c r="I38" s="255">
        <f>IF(Capaian1!I36&lt;&gt;"",Capaian1!I36,"")</f>
        <v>3.4</v>
      </c>
      <c r="J38" s="255" t="str">
        <f>IF(Capaian1!J36&lt;&gt;"",Capaian1!J36,"")</f>
        <v>B</v>
      </c>
      <c r="K38" s="255">
        <f>IF(Capaian1!K36&lt;&gt;"",Capaian1!K36,"")</f>
        <v>3.6720000000000006</v>
      </c>
      <c r="L38" s="255">
        <f>IF(Capaian1!L36&lt;&gt;"",Capaian1!L36,"")</f>
        <v>3.8</v>
      </c>
      <c r="M38" s="255" t="str">
        <f>IF(Capaian1!M36&lt;&gt;"",Capaian1!M36,"")</f>
        <v>SB</v>
      </c>
      <c r="N38" s="255">
        <f>IF(Capaian1!N36&lt;&gt;"",Capaian1!N36,"")</f>
        <v>2.6042857142857145</v>
      </c>
      <c r="O38" s="255">
        <f>IF(Capaian1!O36&lt;&gt;"",Capaian1!O36,"")</f>
        <v>2.7420952380952377</v>
      </c>
      <c r="P38" s="255" t="str">
        <f>IF(Capaian1!P36&lt;&gt;"",Capaian1!P36,"")</f>
        <v>B</v>
      </c>
      <c r="Q38" s="255">
        <f>IF(Capaian1!Q36&lt;&gt;"",Capaian1!Q36,"")</f>
        <v>3.1466666666666669</v>
      </c>
      <c r="R38" s="255">
        <f>IF(Capaian1!R36&lt;&gt;"",Capaian1!R36,"")</f>
        <v>3.1333333333333333</v>
      </c>
      <c r="S38" s="255" t="str">
        <f>IF(Capaian1!S36&lt;&gt;"",Capaian1!S36,"")</f>
        <v>B</v>
      </c>
      <c r="T38" s="255">
        <f>IF(Capaian1!T36&lt;&gt;"",Capaian1!T36,"")</f>
        <v>3.2640000000000002</v>
      </c>
      <c r="U38" s="255">
        <f>IF(Capaian1!U36&lt;&gt;"",Capaian1!U36,"")</f>
        <v>3.2239999999999998</v>
      </c>
      <c r="V38" s="255" t="str">
        <f>IF(Capaian1!V36&lt;&gt;"",Capaian1!V36,"")</f>
        <v>SB</v>
      </c>
      <c r="W38" s="255">
        <f>IF(Capaian1!W36&lt;&gt;"",Capaian1!W36,"")</f>
        <v>3.2784000000000004</v>
      </c>
      <c r="X38" s="255">
        <f>IF(Capaian1!X36&lt;&gt;"",Capaian1!X36,"")</f>
        <v>3.2519999999999998</v>
      </c>
      <c r="Y38" s="255" t="str">
        <f>IF(Capaian1!Y36&lt;&gt;"",Capaian1!Y36,"")</f>
        <v>B</v>
      </c>
      <c r="Z38" s="255">
        <f>IF(Capaian1!Z36&lt;&gt;"",Capaian1!Z36,"")</f>
        <v>3.04</v>
      </c>
      <c r="AA38" s="255">
        <f>IF(Capaian1!AA36&lt;&gt;"",Capaian1!AA36,"")</f>
        <v>3.38</v>
      </c>
      <c r="AB38" s="255" t="str">
        <f>IF(Capaian1!AB36&lt;&gt;"",Capaian1!AB36,"")</f>
        <v>B</v>
      </c>
      <c r="AC38" s="255">
        <f>IF(Capaian1!AC36&lt;&gt;"",Capaian1!AC36,"")</f>
        <v>3.24</v>
      </c>
      <c r="AD38" s="255">
        <f>IF(Capaian1!AD36&lt;&gt;"",Capaian1!AD36,"")</f>
        <v>3.28</v>
      </c>
      <c r="AE38" s="255" t="str">
        <f>IF(Capaian1!AE36&lt;&gt;"",Capaian1!AE36,"")</f>
        <v>SB</v>
      </c>
      <c r="AF38" s="255">
        <f>IF(Capaian1!AF36&lt;&gt;"",Capaian1!AF36,"")</f>
        <v>3.0870000000000006</v>
      </c>
      <c r="AG38" s="255">
        <f>IF(Capaian1!AG36&lt;&gt;"",Capaian1!AG36,"")</f>
        <v>3.26</v>
      </c>
      <c r="AH38" s="255" t="str">
        <f>IF(Capaian1!AH36&lt;&gt;"",Capaian1!AH36,"")</f>
        <v>SB</v>
      </c>
      <c r="AI38" s="255">
        <f>IF(Capaian1!AI36&lt;&gt;"",Capaian1!AI36,"")</f>
        <v>3.056</v>
      </c>
      <c r="AJ38" s="255">
        <f>IF(Capaian1!AJ36&lt;&gt;"",Capaian1!AJ36,"")</f>
        <v>3.1439999999999997</v>
      </c>
      <c r="AK38" s="255" t="str">
        <f>IF(Capaian1!AK36&lt;&gt;"",Capaian1!AK36,"")</f>
        <v>B</v>
      </c>
      <c r="AL38" s="255" t="str">
        <f>IF(Capaian1!AL36&lt;&gt;"",Capaian1!AL36,"")</f>
        <v/>
      </c>
      <c r="AM38" s="255" t="str">
        <f>IF(Capaian1!AM36&lt;&gt;"",Capaian1!AM36,"")</f>
        <v/>
      </c>
      <c r="AN38" s="255" t="str">
        <f>IF(Capaian1!AN36&lt;&gt;"",Capaian1!AN36,"")</f>
        <v/>
      </c>
      <c r="AO38" s="255" t="str">
        <f>IF(Capaian1!AO36&lt;&gt;"",Capaian1!AO36,"")</f>
        <v/>
      </c>
      <c r="AP38" s="255" t="str">
        <f>IF(Capaian1!AP36&lt;&gt;"",Capaian1!AP36,"")</f>
        <v/>
      </c>
      <c r="AQ38" s="255" t="str">
        <f>IF(Capaian1!AQ36&lt;&gt;"",Capaian1!AQ36,"")</f>
        <v/>
      </c>
      <c r="AR38" s="255" t="str">
        <f>IF(Capaian1!AR36&lt;&gt;"",Capaian1!AR36,"")</f>
        <v/>
      </c>
      <c r="AS38" s="255" t="str">
        <f>IF(Capaian1!AS36&lt;&gt;"",Capaian1!AS36,"")</f>
        <v/>
      </c>
      <c r="AT38" s="255" t="str">
        <f>IF(Capaian1!AT36&lt;&gt;"",Capaian1!AT36,"")</f>
        <v/>
      </c>
      <c r="AU38" s="255" t="str">
        <f>IF(Capaian1!AU36&lt;&gt;"",Capaian1!AU36,"")</f>
        <v/>
      </c>
      <c r="AV38" s="255" t="str">
        <f>IF(Capaian1!AV36&lt;&gt;"",Capaian1!AV36,"")</f>
        <v/>
      </c>
      <c r="AW38" s="255" t="str">
        <f>IF(Capaian1!AW36&lt;&gt;"",Capaian1!AW36,"")</f>
        <v/>
      </c>
      <c r="AX38" s="255">
        <f>IF(Capaian1!AX36&lt;&gt;"",Capaian1!AX36,"")</f>
        <v>3.3039999999999998</v>
      </c>
      <c r="AY38" s="255">
        <f>IF(Capaian1!AY36&lt;&gt;"",Capaian1!AY36,"")</f>
        <v>3.4</v>
      </c>
      <c r="AZ38" s="255" t="str">
        <f>IF(Capaian1!AZ36&lt;&gt;"",Capaian1!AZ36,"")</f>
        <v>B</v>
      </c>
      <c r="BA38" s="255">
        <f>IF(Capaian1!BA36&lt;&gt;"",Capaian1!BA36,"")</f>
        <v>3.04</v>
      </c>
      <c r="BB38" s="255">
        <f>IF(Capaian1!BB36&lt;&gt;"",Capaian1!BB36,"")</f>
        <v>3.1439999999999997</v>
      </c>
      <c r="BC38" s="255" t="str">
        <f>IF(Capaian1!BC36&lt;&gt;"",Capaian1!BC36,"")</f>
        <v>B</v>
      </c>
      <c r="BD38" s="255">
        <f>IF(Capaian1!BD36&lt;&gt;"",Capaian1!BD36,"")</f>
        <v>3.238</v>
      </c>
      <c r="BE38" s="255">
        <f>IF(Capaian1!BE36&lt;&gt;"",Capaian1!BE36,"")</f>
        <v>3.3236000000000003</v>
      </c>
      <c r="BF38" s="255" t="str">
        <f>IF(Capaian1!BF36&lt;&gt;"",Capaian1!BF36,"")</f>
        <v>SB</v>
      </c>
      <c r="BG38" s="255">
        <f>IF(Capaian1!BG36&lt;&gt;"",Capaian1!BG36,"")</f>
        <v>2.9226666666666663</v>
      </c>
      <c r="BH38" s="255">
        <f>IF(Capaian1!BH36&lt;&gt;"",Capaian1!BH36,"")</f>
        <v>2.9666666666666663</v>
      </c>
      <c r="BI38" s="255" t="str">
        <f>IF(Capaian1!BI36&lt;&gt;"",Capaian1!BI36,"")</f>
        <v>B</v>
      </c>
      <c r="BJ38" s="255">
        <f>IF(Capaian1!BJ36&lt;&gt;"",Capaian1!BJ36,"")</f>
        <v>2.76</v>
      </c>
      <c r="BK38" s="255">
        <f>IF(Capaian1!BK36&lt;&gt;"",Capaian1!BK36,"")</f>
        <v>3.05</v>
      </c>
      <c r="BL38" s="255" t="str">
        <f>IF(Capaian1!BL36&lt;&gt;"",Capaian1!BL36,"")</f>
        <v>B</v>
      </c>
      <c r="BM38" s="255" t="str">
        <f>IF(Capaian1!BP36&lt;&gt;"",Capaian1!BP36,"")</f>
        <v/>
      </c>
      <c r="BN38" s="255" t="str">
        <f>IF(Capaian1!BQ36&lt;&gt;"",Capaian1!BQ36,"")</f>
        <v/>
      </c>
      <c r="BO38" s="255" t="str">
        <f>IF(Capaian1!BR36&lt;&gt;"",Capaian1!BR36,"")</f>
        <v/>
      </c>
      <c r="BP38" s="255" t="str">
        <f>IF(Capaian1!BS36&lt;&gt;"",Capaian1!BS36,"")</f>
        <v/>
      </c>
      <c r="BQ38" s="255" t="str">
        <f>IF(Capaian1!BT36&lt;&gt;"",Capaian1!BT36,"")</f>
        <v/>
      </c>
      <c r="BR38" s="255" t="str">
        <f>IF(Capaian1!BU36&lt;&gt;"",Capaian1!BU36,"")</f>
        <v/>
      </c>
      <c r="BS38" s="255" t="str">
        <f>IF(Capaian1!BV36&lt;&gt;"",Capaian1!BV36,"")</f>
        <v/>
      </c>
      <c r="BT38" s="255" t="str">
        <f>IF(Capaian1!BW36&lt;&gt;"",Capaian1!BW36,"")</f>
        <v/>
      </c>
      <c r="BU38" s="255" t="str">
        <f>IF(Capaian1!BX36&lt;&gt;"",Capaian1!BX36,"")</f>
        <v/>
      </c>
      <c r="BV38" s="255">
        <f>IF(Capaian1!BM36&lt;&gt;"",Capaian1!BM36,"")</f>
        <v>3.2480000000000002</v>
      </c>
      <c r="BW38" s="255">
        <f>IF(Capaian1!BN36&lt;&gt;"",Capaian1!BN36,"")</f>
        <v>3.2680000000000002</v>
      </c>
      <c r="BX38" s="255" t="str">
        <f>IF(Capaian1!BO36&lt;&gt;"",Capaian1!BO36,"")</f>
        <v>SB</v>
      </c>
      <c r="BY38" s="255" t="str">
        <f>IF(Capaian1!BP36&lt;&gt;"",Capaian1!BP36,"")</f>
        <v/>
      </c>
      <c r="BZ38" s="255" t="str">
        <f>IF(Capaian1!BQ36&lt;&gt;"",Capaian1!BQ36,"")</f>
        <v/>
      </c>
      <c r="CA38" s="255" t="str">
        <f>IF(Capaian1!BR36&lt;&gt;"",Capaian1!BR36,"")</f>
        <v/>
      </c>
      <c r="CB38" s="255" t="str">
        <f>IF(Capaian1!BS36&lt;&gt;"",Capaian1!BS36,"")</f>
        <v/>
      </c>
      <c r="CC38" s="255" t="str">
        <f>IF(Capaian1!BT36&lt;&gt;"",Capaian1!BT36,"")</f>
        <v/>
      </c>
      <c r="CD38" s="255" t="str">
        <f>IF(Capaian1!BU36&lt;&gt;"",Capaian1!BU36,"")</f>
        <v/>
      </c>
      <c r="CE38" s="255" t="str">
        <f>IF(Capaian1!BV36&lt;&gt;"",Capaian1!BV36,"")</f>
        <v/>
      </c>
      <c r="CF38" s="255" t="str">
        <f>IF(Capaian1!BW36&lt;&gt;"",Capaian1!BW36,"")</f>
        <v/>
      </c>
      <c r="CG38" s="255" t="str">
        <f>IF(Capaian1!BX36&lt;&gt;"",Capaian1!BX36,"")</f>
        <v/>
      </c>
      <c r="CH38" s="255" t="str">
        <f>IF(Capaian1!BY36&lt;&gt;"",Capaian1!BY36,"")</f>
        <v/>
      </c>
      <c r="CI38" s="255" t="str">
        <f>IF(Capaian1!BZ36&lt;&gt;"",Capaian1!BZ36,"")</f>
        <v/>
      </c>
      <c r="CJ38" s="255" t="str">
        <f>IF(Capaian1!CA36&lt;&gt;"",Capaian1!CA36,"")</f>
        <v/>
      </c>
      <c r="CK38" s="255" t="str">
        <f>IF(Capaian1!CB36&lt;&gt;"",Capaian1!CB36,"")</f>
        <v/>
      </c>
      <c r="CL38" s="255" t="str">
        <f>IF(Capaian1!CC36&lt;&gt;"",Capaian1!CC36,"")</f>
        <v/>
      </c>
      <c r="CM38" s="255" t="str">
        <f>IF(Capaian1!CD36&lt;&gt;"",Capaian1!CD36,"")</f>
        <v/>
      </c>
      <c r="CN38" s="255" t="str">
        <f>IF(Capaian1!CE36&lt;&gt;"",Capaian1!CE36,"")</f>
        <v/>
      </c>
      <c r="CO38" s="255" t="str">
        <f>IF(Capaian1!CF36&lt;&gt;"",Capaian1!CF36,"")</f>
        <v/>
      </c>
      <c r="CP38" s="255" t="str">
        <f>IF(Capaian1!CG36&lt;&gt;"",Capaian1!CG36,"")</f>
        <v/>
      </c>
      <c r="CQ38" s="255">
        <f>IF(Capaian1!CH36&lt;&gt;"",Capaian1!CH36,"")</f>
        <v>3.5266666666666664</v>
      </c>
      <c r="CR38" s="255">
        <f>IF(Capaian1!CI36&lt;&gt;"",Capaian1!CI36,"")</f>
        <v>3.54</v>
      </c>
      <c r="CS38" s="255" t="str">
        <f>IF(Capaian1!CJ36&lt;&gt;"",Capaian1!CJ36,"")</f>
        <v>B</v>
      </c>
      <c r="CT38" s="255" t="str">
        <f>IF(Capaian1!CK36&lt;&gt;"",Capaian1!CK36,"")</f>
        <v/>
      </c>
      <c r="CU38" s="255" t="str">
        <f>IF(Capaian1!CL36&lt;&gt;"",Capaian1!CL36,"")</f>
        <v/>
      </c>
      <c r="CV38" s="255" t="str">
        <f>IF(Capaian1!CM36&lt;&gt;"",Capaian1!CM36,"")</f>
        <v/>
      </c>
      <c r="CW38" s="255" t="str">
        <f>IF(Capaian1!CN36&lt;&gt;"",Capaian1!CN36,"")</f>
        <v>--</v>
      </c>
      <c r="CX38" s="255" t="str">
        <f>IF(Capaian1!CO36&lt;&gt;"",Capaian1!CO36,"")</f>
        <v/>
      </c>
      <c r="CY38" s="255" t="str">
        <f>IF(Capaian1!CP36&lt;&gt;"",Capaian1!CP36,"")</f>
        <v>--</v>
      </c>
      <c r="CZ38" s="255" t="str">
        <f>IF(Capaian1!CQ36&lt;&gt;"",Capaian1!CQ36,"")</f>
        <v/>
      </c>
      <c r="DA38" s="255">
        <f>IF(Capaian1!CR36&lt;&gt;"",Capaian1!CR36,"")</f>
        <v>1</v>
      </c>
      <c r="DB38" s="255">
        <f>IF(Capaian1!CS36&lt;&gt;"",Capaian1!CS36,"")</f>
        <v>0</v>
      </c>
      <c r="DC38" s="255">
        <f>IF(Capaian1!CT36&lt;&gt;"",Capaian1!CT36,"")</f>
        <v>0</v>
      </c>
    </row>
    <row r="39" spans="2:107" s="234" customFormat="1" x14ac:dyDescent="0.25">
      <c r="B39" s="238">
        <v>33</v>
      </c>
      <c r="C39" s="238" t="str">
        <f>Peserta_Didik!D35</f>
        <v>1314.10.139</v>
      </c>
      <c r="D39" s="238" t="str">
        <f>Peserta_Didik!C35</f>
        <v>Silmi Farhah Fauziah</v>
      </c>
      <c r="E39" s="239">
        <f>IF(Capaian1!E37&lt;&gt;"",Capaian1!E37,"")</f>
        <v>3.5119999999999991</v>
      </c>
      <c r="F39" s="239">
        <f>IF(Capaian1!F37&lt;&gt;"",Capaian1!F37,"")</f>
        <v>3.6</v>
      </c>
      <c r="G39" s="239" t="str">
        <f>IF(Capaian1!G37&lt;&gt;"",Capaian1!G37,"")</f>
        <v>SB</v>
      </c>
      <c r="H39" s="239">
        <f>IF(Capaian1!H37&lt;&gt;"",Capaian1!H37,"")</f>
        <v>3.4239999999999999</v>
      </c>
      <c r="I39" s="239">
        <f>IF(Capaian1!I37&lt;&gt;"",Capaian1!I37,"")</f>
        <v>3.4</v>
      </c>
      <c r="J39" s="239" t="str">
        <f>IF(Capaian1!J37&lt;&gt;"",Capaian1!J37,"")</f>
        <v>SB</v>
      </c>
      <c r="K39" s="239">
        <f>IF(Capaian1!K37&lt;&gt;"",Capaian1!K37,"")</f>
        <v>3.7119999999999997</v>
      </c>
      <c r="L39" s="239">
        <f>IF(Capaian1!L37&lt;&gt;"",Capaian1!L37,"")</f>
        <v>3.8</v>
      </c>
      <c r="M39" s="239" t="str">
        <f>IF(Capaian1!M37&lt;&gt;"",Capaian1!M37,"")</f>
        <v>SB</v>
      </c>
      <c r="N39" s="239">
        <f>IF(Capaian1!N37&lt;&gt;"",Capaian1!N37,"")</f>
        <v>3.0271428571428571</v>
      </c>
      <c r="O39" s="239">
        <f>IF(Capaian1!O37&lt;&gt;"",Capaian1!O37,"")</f>
        <v>3.1497142857142859</v>
      </c>
      <c r="P39" s="239" t="str">
        <f>IF(Capaian1!P37&lt;&gt;"",Capaian1!P37,"")</f>
        <v>SB</v>
      </c>
      <c r="Q39" s="239">
        <f>IF(Capaian1!Q37&lt;&gt;"",Capaian1!Q37,"")</f>
        <v>3.3973333333333331</v>
      </c>
      <c r="R39" s="239">
        <f>IF(Capaian1!R37&lt;&gt;"",Capaian1!R37,"")</f>
        <v>3.4533333333333331</v>
      </c>
      <c r="S39" s="239" t="str">
        <f>IF(Capaian1!S37&lt;&gt;"",Capaian1!S37,"")</f>
        <v>B</v>
      </c>
      <c r="T39" s="239">
        <f>IF(Capaian1!T37&lt;&gt;"",Capaian1!T37,"")</f>
        <v>3.2640000000000002</v>
      </c>
      <c r="U39" s="239">
        <f>IF(Capaian1!U37&lt;&gt;"",Capaian1!U37,"")</f>
        <v>3.2239999999999998</v>
      </c>
      <c r="V39" s="239" t="str">
        <f>IF(Capaian1!V37&lt;&gt;"",Capaian1!V37,"")</f>
        <v>SB</v>
      </c>
      <c r="W39" s="239">
        <f>IF(Capaian1!W37&lt;&gt;"",Capaian1!W37,"")</f>
        <v>3.4784000000000002</v>
      </c>
      <c r="X39" s="239">
        <f>IF(Capaian1!X37&lt;&gt;"",Capaian1!X37,"")</f>
        <v>3.4760000000000004</v>
      </c>
      <c r="Y39" s="239" t="str">
        <f>IF(Capaian1!Y37&lt;&gt;"",Capaian1!Y37,"")</f>
        <v>B</v>
      </c>
      <c r="Z39" s="239">
        <f>IF(Capaian1!Z37&lt;&gt;"",Capaian1!Z37,"")</f>
        <v>3.36</v>
      </c>
      <c r="AA39" s="239">
        <f>IF(Capaian1!AA37&lt;&gt;"",Capaian1!AA37,"")</f>
        <v>3.395</v>
      </c>
      <c r="AB39" s="239" t="str">
        <f>IF(Capaian1!AB37&lt;&gt;"",Capaian1!AB37,"")</f>
        <v>B</v>
      </c>
      <c r="AC39" s="239">
        <f>IF(Capaian1!AC37&lt;&gt;"",Capaian1!AC37,"")</f>
        <v>3.3839999999999999</v>
      </c>
      <c r="AD39" s="239">
        <f>IF(Capaian1!AD37&lt;&gt;"",Capaian1!AD37,"")</f>
        <v>3.28</v>
      </c>
      <c r="AE39" s="239" t="str">
        <f>IF(Capaian1!AE37&lt;&gt;"",Capaian1!AE37,"")</f>
        <v>SB</v>
      </c>
      <c r="AF39" s="239">
        <f>IF(Capaian1!AF37&lt;&gt;"",Capaian1!AF37,"")</f>
        <v>3.5169999999999999</v>
      </c>
      <c r="AG39" s="239">
        <f>IF(Capaian1!AG37&lt;&gt;"",Capaian1!AG37,"")</f>
        <v>3.4</v>
      </c>
      <c r="AH39" s="239" t="str">
        <f>IF(Capaian1!AH37&lt;&gt;"",Capaian1!AH37,"")</f>
        <v>SB</v>
      </c>
      <c r="AI39" s="239">
        <f>IF(Capaian1!AI37&lt;&gt;"",Capaian1!AI37,"")</f>
        <v>3.1162000000000001</v>
      </c>
      <c r="AJ39" s="239">
        <f>IF(Capaian1!AJ37&lt;&gt;"",Capaian1!AJ37,"")</f>
        <v>3.2160000000000002</v>
      </c>
      <c r="AK39" s="239" t="str">
        <f>IF(Capaian1!AK37&lt;&gt;"",Capaian1!AK37,"")</f>
        <v>B</v>
      </c>
      <c r="AL39" s="239"/>
      <c r="AM39" s="239"/>
      <c r="AN39" s="239"/>
      <c r="AO39" s="239"/>
      <c r="AP39" s="239"/>
      <c r="AQ39" s="239"/>
      <c r="AR39" s="239" t="str">
        <f>IF(Capaian1!AL37&lt;&gt;"",Capaian1!AL37,"")</f>
        <v/>
      </c>
      <c r="AS39" s="239" t="str">
        <f>IF(Capaian1!AM37&lt;&gt;"",Capaian1!AM37,"")</f>
        <v/>
      </c>
      <c r="AT39" s="239" t="str">
        <f>IF(Capaian1!AN37&lt;&gt;"",Capaian1!AN37,"")</f>
        <v/>
      </c>
      <c r="AU39" s="239"/>
      <c r="AV39" s="239"/>
      <c r="AW39" s="239"/>
      <c r="AX39" s="239">
        <f>IF(Capaian1!AX37&lt;&gt;"",Capaian1!AX37,"")</f>
        <v>3.4239999999999999</v>
      </c>
      <c r="AY39" s="239">
        <f>IF(Capaian1!AY37&lt;&gt;"",Capaian1!AY37,"")</f>
        <v>3.4</v>
      </c>
      <c r="AZ39" s="239" t="str">
        <f>IF(Capaian1!AZ37&lt;&gt;"",Capaian1!AZ37,"")</f>
        <v>SB</v>
      </c>
      <c r="BA39" s="239">
        <f>IF(Capaian1!BA37&lt;&gt;"",Capaian1!BA37,"")</f>
        <v>3.1319999999999997</v>
      </c>
      <c r="BB39" s="239">
        <f>IF(Capaian1!BB37&lt;&gt;"",Capaian1!BB37,"")</f>
        <v>3.2160000000000002</v>
      </c>
      <c r="BC39" s="239" t="str">
        <f>IF(Capaian1!BC37&lt;&gt;"",Capaian1!BC37,"")</f>
        <v>B</v>
      </c>
      <c r="BD39" s="239">
        <f>IF(Capaian1!BD37&lt;&gt;"",Capaian1!BD37,"")</f>
        <v>3.2280000000000002</v>
      </c>
      <c r="BE39" s="239">
        <f>IF(Capaian1!BE37&lt;&gt;"",Capaian1!BE37,"")</f>
        <v>3.4039999999999999</v>
      </c>
      <c r="BF39" s="239" t="str">
        <f>IF(Capaian1!BF37&lt;&gt;"",Capaian1!BF37,"")</f>
        <v>SB</v>
      </c>
      <c r="BG39" s="239">
        <f>IF(Capaian1!BG37&lt;&gt;"",Capaian1!BG37,"")</f>
        <v>3.3760000000000003</v>
      </c>
      <c r="BH39" s="239">
        <f>IF(Capaian1!BH37&lt;&gt;"",Capaian1!BH37,"")</f>
        <v>3.3866666666666663</v>
      </c>
      <c r="BI39" s="239" t="str">
        <f>IF(Capaian1!BI37&lt;&gt;"",Capaian1!BI37,"")</f>
        <v>B</v>
      </c>
      <c r="BJ39" s="239">
        <f>IF(Capaian1!BJ37&lt;&gt;"",Capaian1!BJ37,"")</f>
        <v>3.4</v>
      </c>
      <c r="BK39" s="239">
        <f>IF(Capaian1!BK37&lt;&gt;"",Capaian1!BK37,"")</f>
        <v>3.4</v>
      </c>
      <c r="BL39" s="239" t="str">
        <f>IF(Capaian1!BL37&lt;&gt;"",Capaian1!BL37,"")</f>
        <v>B</v>
      </c>
      <c r="BM39" s="239" t="str">
        <f>IF(Capaian1!BP37&lt;&gt;"",Capaian1!BP37,"")</f>
        <v/>
      </c>
      <c r="BN39" s="239" t="str">
        <f>IF(Capaian1!BQ37&lt;&gt;"",Capaian1!BQ37,"")</f>
        <v/>
      </c>
      <c r="BO39" s="239" t="str">
        <f>IF(Capaian1!BR37&lt;&gt;"",Capaian1!BR37,"")</f>
        <v/>
      </c>
      <c r="BP39" s="239" t="str">
        <f>IF(Capaian1!BS37&lt;&gt;"",Capaian1!BS37,"")</f>
        <v/>
      </c>
      <c r="BQ39" s="239" t="str">
        <f>IF(Capaian1!BT37&lt;&gt;"",Capaian1!BT37,"")</f>
        <v/>
      </c>
      <c r="BR39" s="239" t="str">
        <f>IF(Capaian1!BU37&lt;&gt;"",Capaian1!BU37,"")</f>
        <v/>
      </c>
      <c r="BS39" s="239" t="str">
        <f>IF(Capaian1!BV37&lt;&gt;"",Capaian1!BV37,"")</f>
        <v/>
      </c>
      <c r="BT39" s="239" t="str">
        <f>IF(Capaian1!BW37&lt;&gt;"",Capaian1!BW37,"")</f>
        <v/>
      </c>
      <c r="BU39" s="239" t="str">
        <f>IF(Capaian1!BX37&lt;&gt;"",Capaian1!BX37,"")</f>
        <v/>
      </c>
      <c r="BV39" s="239"/>
      <c r="BW39" s="239"/>
      <c r="BX39" s="239"/>
      <c r="BY39" s="239"/>
      <c r="BZ39" s="239"/>
      <c r="CA39" s="239"/>
      <c r="CB39" s="239"/>
      <c r="CC39" s="239"/>
      <c r="CD39" s="239"/>
      <c r="CE39" s="239"/>
      <c r="CF39" s="239"/>
      <c r="CG39" s="239"/>
      <c r="CH39" s="239"/>
      <c r="CI39" s="239"/>
      <c r="CJ39" s="239"/>
      <c r="CK39" s="255" t="str">
        <f>IF(Capaian1!CB37&lt;&gt;"",Capaian1!CB37,"")</f>
        <v/>
      </c>
      <c r="CL39" s="255" t="str">
        <f>IF(Capaian1!CC37&lt;&gt;"",Capaian1!CC37,"")</f>
        <v/>
      </c>
      <c r="CM39" s="255" t="str">
        <f>IF(Capaian1!CD37&lt;&gt;"",Capaian1!CD37,"")</f>
        <v/>
      </c>
      <c r="CN39" s="239"/>
      <c r="CO39" s="239"/>
      <c r="CP39" s="239"/>
      <c r="CQ39" s="255">
        <f>IF(Capaian1!CH37&lt;&gt;"",Capaian1!CH37,"")</f>
        <v>3.5333333333333337</v>
      </c>
      <c r="CR39" s="255">
        <f>IF(Capaian1!CI37&lt;&gt;"",Capaian1!CI37,"")</f>
        <v>3.6</v>
      </c>
      <c r="CS39" s="255" t="str">
        <f>IF(Capaian1!CJ37&lt;&gt;"",Capaian1!CJ37,"")</f>
        <v>B</v>
      </c>
      <c r="CT39" s="239" t="str">
        <f>IF(Capaian1!CK37&lt;&gt;"",Capaian1!CK37,"")</f>
        <v/>
      </c>
      <c r="CU39" s="239" t="str">
        <f>IF(Capaian1!CL37&lt;&gt;"",Capaian1!CL37,"")</f>
        <v/>
      </c>
      <c r="CV39" s="239" t="str">
        <f>IF(Capaian1!CM37&lt;&gt;"",Capaian1!CM37,"")</f>
        <v/>
      </c>
      <c r="CW39" s="239" t="str">
        <f>IF(Capaian1!CN37&lt;&gt;"",Capaian1!CN37,"")</f>
        <v>OSIS</v>
      </c>
      <c r="CX39" s="239" t="str">
        <f>IF(Capaian1!CO37&lt;&gt;"",Capaian1!CO37,"")</f>
        <v>A</v>
      </c>
      <c r="CY39" s="239" t="str">
        <f>IF(Capaian1!CP37&lt;&gt;"",Capaian1!CP37,"")</f>
        <v>karawitan</v>
      </c>
      <c r="CZ39" s="239" t="str">
        <f>IF(Capaian1!CQ37&lt;&gt;"",Capaian1!CQ37,"")</f>
        <v>B</v>
      </c>
      <c r="DA39" s="239">
        <f>IF(Capaian1!CR37&lt;&gt;"",Capaian1!CR37,"")</f>
        <v>0</v>
      </c>
      <c r="DB39" s="239">
        <f>IF(Capaian1!CS37&lt;&gt;"",Capaian1!CS37,"")</f>
        <v>0</v>
      </c>
      <c r="DC39" s="239">
        <f>IF(Capaian1!CT37&lt;&gt;"",Capaian1!CT37,"")</f>
        <v>0</v>
      </c>
    </row>
    <row r="40" spans="2:107" s="234" customFormat="1" x14ac:dyDescent="0.25">
      <c r="B40" s="238">
        <v>34</v>
      </c>
      <c r="C40" s="238" t="str">
        <f>Peserta_Didik!D36</f>
        <v>1314.10.140</v>
      </c>
      <c r="D40" s="238" t="str">
        <f>Peserta_Didik!C36</f>
        <v>Syahrul Nizam</v>
      </c>
      <c r="E40" s="239">
        <f>IF(Capaian1!E38&lt;&gt;"",Capaian1!E38,"")</f>
        <v>3.4399999999999995</v>
      </c>
      <c r="F40" s="239">
        <f>IF(Capaian1!F38&lt;&gt;"",Capaian1!F38,"")</f>
        <v>3.56</v>
      </c>
      <c r="G40" s="239" t="str">
        <f>IF(Capaian1!G38&lt;&gt;"",Capaian1!G38,"")</f>
        <v>B</v>
      </c>
      <c r="H40" s="239">
        <f>IF(Capaian1!H38&lt;&gt;"",Capaian1!H38,"")</f>
        <v>3.2159999999999997</v>
      </c>
      <c r="I40" s="239">
        <f>IF(Capaian1!I38&lt;&gt;"",Capaian1!I38,"")</f>
        <v>3.33</v>
      </c>
      <c r="J40" s="239" t="str">
        <f>IF(Capaian1!J38&lt;&gt;"",Capaian1!J38,"")</f>
        <v>B</v>
      </c>
      <c r="K40" s="239">
        <f>IF(Capaian1!K38&lt;&gt;"",Capaian1!K38,"")</f>
        <v>3.3439999999999999</v>
      </c>
      <c r="L40" s="239">
        <f>IF(Capaian1!L38&lt;&gt;"",Capaian1!L38,"")</f>
        <v>3.2</v>
      </c>
      <c r="M40" s="239" t="str">
        <f>IF(Capaian1!M38&lt;&gt;"",Capaian1!M38,"")</f>
        <v>B</v>
      </c>
      <c r="N40" s="239">
        <f>IF(Capaian1!N38&lt;&gt;"",Capaian1!N38,"")</f>
        <v>2.5421428571428573</v>
      </c>
      <c r="O40" s="239">
        <f>IF(Capaian1!O38&lt;&gt;"",Capaian1!O38,"")</f>
        <v>2.563047619047619</v>
      </c>
      <c r="P40" s="239" t="str">
        <f>IF(Capaian1!P38&lt;&gt;"",Capaian1!P38,"")</f>
        <v>B</v>
      </c>
      <c r="Q40" s="239">
        <f>IF(Capaian1!Q38&lt;&gt;"",Capaian1!Q38,"")</f>
        <v>3.3973333333333331</v>
      </c>
      <c r="R40" s="239">
        <f>IF(Capaian1!R38&lt;&gt;"",Capaian1!R38,"")</f>
        <v>3.34</v>
      </c>
      <c r="S40" s="239" t="str">
        <f>IF(Capaian1!S38&lt;&gt;"",Capaian1!S38,"")</f>
        <v>B</v>
      </c>
      <c r="T40" s="239">
        <f>IF(Capaian1!T38&lt;&gt;"",Capaian1!T38,"")</f>
        <v>3.2640000000000002</v>
      </c>
      <c r="U40" s="239">
        <f>IF(Capaian1!U38&lt;&gt;"",Capaian1!U38,"")</f>
        <v>3.2239999999999998</v>
      </c>
      <c r="V40" s="239" t="str">
        <f>IF(Capaian1!V38&lt;&gt;"",Capaian1!V38,"")</f>
        <v>B</v>
      </c>
      <c r="W40" s="239">
        <f>IF(Capaian1!W38&lt;&gt;"",Capaian1!W38,"")</f>
        <v>3.2495999999999996</v>
      </c>
      <c r="X40" s="239">
        <f>IF(Capaian1!X38&lt;&gt;"",Capaian1!X38,"")</f>
        <v>3.2319999999999998</v>
      </c>
      <c r="Y40" s="239" t="str">
        <f>IF(Capaian1!Y38&lt;&gt;"",Capaian1!Y38,"")</f>
        <v>B</v>
      </c>
      <c r="Z40" s="239">
        <f>IF(Capaian1!Z38&lt;&gt;"",Capaian1!Z38,"")</f>
        <v>3.36</v>
      </c>
      <c r="AA40" s="239">
        <f>IF(Capaian1!AA38&lt;&gt;"",Capaian1!AA38,"")</f>
        <v>3.2949999999999999</v>
      </c>
      <c r="AB40" s="239" t="str">
        <f>IF(Capaian1!AB38&lt;&gt;"",Capaian1!AB38,"")</f>
        <v>B</v>
      </c>
      <c r="AC40" s="239">
        <f>IF(Capaian1!AC38&lt;&gt;"",Capaian1!AC38,"")</f>
        <v>3.1919999999999997</v>
      </c>
      <c r="AD40" s="239">
        <f>IF(Capaian1!AD38&lt;&gt;"",Capaian1!AD38,"")</f>
        <v>3.24</v>
      </c>
      <c r="AE40" s="239" t="str">
        <f>IF(Capaian1!AE38&lt;&gt;"",Capaian1!AE38,"")</f>
        <v>B</v>
      </c>
      <c r="AF40" s="239">
        <f>IF(Capaian1!AF38&lt;&gt;"",Capaian1!AF38,"")</f>
        <v>3.0139999999999998</v>
      </c>
      <c r="AG40" s="239">
        <f>IF(Capaian1!AG38&lt;&gt;"",Capaian1!AG38,"")</f>
        <v>3.1</v>
      </c>
      <c r="AH40" s="239" t="str">
        <f>IF(Capaian1!AH38&lt;&gt;"",Capaian1!AH38,"")</f>
        <v>SB</v>
      </c>
      <c r="AI40" s="239">
        <f>IF(Capaian1!AI38&lt;&gt;"",Capaian1!AI38,"")</f>
        <v>3.1386000000000003</v>
      </c>
      <c r="AJ40" s="239">
        <f>IF(Capaian1!AJ38&lt;&gt;"",Capaian1!AJ38,"")</f>
        <v>3.2480000000000002</v>
      </c>
      <c r="AK40" s="239" t="str">
        <f>IF(Capaian1!AK38&lt;&gt;"",Capaian1!AK38,"")</f>
        <v>B</v>
      </c>
      <c r="AL40" s="239"/>
      <c r="AM40" s="239"/>
      <c r="AN40" s="239"/>
      <c r="AO40" s="239"/>
      <c r="AP40" s="239"/>
      <c r="AQ40" s="239"/>
      <c r="AR40" s="239" t="str">
        <f>IF(Capaian1!AL38&lt;&gt;"",Capaian1!AL38,"")</f>
        <v/>
      </c>
      <c r="AS40" s="239" t="str">
        <f>IF(Capaian1!AM38&lt;&gt;"",Capaian1!AM38,"")</f>
        <v/>
      </c>
      <c r="AT40" s="239" t="str">
        <f>IF(Capaian1!AN38&lt;&gt;"",Capaian1!AN38,"")</f>
        <v/>
      </c>
      <c r="AU40" s="239"/>
      <c r="AV40" s="239"/>
      <c r="AW40" s="239"/>
      <c r="AX40" s="239">
        <f>IF(Capaian1!AX38&lt;&gt;"",Capaian1!AX38,"")</f>
        <v>3.2159999999999997</v>
      </c>
      <c r="AY40" s="239">
        <f>IF(Capaian1!AY38&lt;&gt;"",Capaian1!AY38,"")</f>
        <v>3.33</v>
      </c>
      <c r="AZ40" s="239" t="str">
        <f>IF(Capaian1!AZ38&lt;&gt;"",Capaian1!AZ38,"")</f>
        <v>B</v>
      </c>
      <c r="BA40" s="239">
        <f>IF(Capaian1!BA38&lt;&gt;"",Capaian1!BA38,"")</f>
        <v>3.17</v>
      </c>
      <c r="BB40" s="239">
        <f>IF(Capaian1!BB38&lt;&gt;"",Capaian1!BB38,"")</f>
        <v>3.28</v>
      </c>
      <c r="BC40" s="239" t="str">
        <f>IF(Capaian1!BC38&lt;&gt;"",Capaian1!BC38,"")</f>
        <v>B</v>
      </c>
      <c r="BD40" s="239">
        <f>IF(Capaian1!BD38&lt;&gt;"",Capaian1!BD38,"")</f>
        <v>3.1719999999999997</v>
      </c>
      <c r="BE40" s="239">
        <f>IF(Capaian1!BE38&lt;&gt;"",Capaian1!BE38,"")</f>
        <v>3.2080000000000002</v>
      </c>
      <c r="BF40" s="239" t="str">
        <f>IF(Capaian1!BF38&lt;&gt;"",Capaian1!BF38,"")</f>
        <v>B</v>
      </c>
      <c r="BG40" s="239">
        <f>IF(Capaian1!BG38&lt;&gt;"",Capaian1!BG38,"")</f>
        <v>3.0613333333333332</v>
      </c>
      <c r="BH40" s="239">
        <f>IF(Capaian1!BH38&lt;&gt;"",Capaian1!BH38,"")</f>
        <v>2.9133333333333336</v>
      </c>
      <c r="BI40" s="239" t="str">
        <f>IF(Capaian1!BI38&lt;&gt;"",Capaian1!BI38,"")</f>
        <v>B</v>
      </c>
      <c r="BJ40" s="239">
        <f>IF(Capaian1!BJ38&lt;&gt;"",Capaian1!BJ38,"")</f>
        <v>2.92</v>
      </c>
      <c r="BK40" s="239">
        <f>IF(Capaian1!BK38&lt;&gt;"",Capaian1!BK38,"")</f>
        <v>2.95</v>
      </c>
      <c r="BL40" s="239" t="str">
        <f>IF(Capaian1!BL38&lt;&gt;"",Capaian1!BL38,"")</f>
        <v>B</v>
      </c>
      <c r="BM40" s="239" t="str">
        <f>IF(Capaian1!BP38&lt;&gt;"",Capaian1!BP38,"")</f>
        <v/>
      </c>
      <c r="BN40" s="239" t="str">
        <f>IF(Capaian1!BQ38&lt;&gt;"",Capaian1!BQ38,"")</f>
        <v/>
      </c>
      <c r="BO40" s="239" t="str">
        <f>IF(Capaian1!BR38&lt;&gt;"",Capaian1!BR38,"")</f>
        <v/>
      </c>
      <c r="BP40" s="239" t="str">
        <f>IF(Capaian1!BS38&lt;&gt;"",Capaian1!BS38,"")</f>
        <v/>
      </c>
      <c r="BQ40" s="239" t="str">
        <f>IF(Capaian1!BT38&lt;&gt;"",Capaian1!BT38,"")</f>
        <v/>
      </c>
      <c r="BR40" s="239" t="str">
        <f>IF(Capaian1!BU38&lt;&gt;"",Capaian1!BU38,"")</f>
        <v/>
      </c>
      <c r="BS40" s="239" t="str">
        <f>IF(Capaian1!BV38&lt;&gt;"",Capaian1!BV38,"")</f>
        <v/>
      </c>
      <c r="BT40" s="239" t="str">
        <f>IF(Capaian1!BW38&lt;&gt;"",Capaian1!BW38,"")</f>
        <v/>
      </c>
      <c r="BU40" s="239" t="str">
        <f>IF(Capaian1!BX38&lt;&gt;"",Capaian1!BX38,"")</f>
        <v/>
      </c>
      <c r="BV40" s="239"/>
      <c r="BW40" s="239"/>
      <c r="BX40" s="239"/>
      <c r="BY40" s="239"/>
      <c r="BZ40" s="239"/>
      <c r="CA40" s="239"/>
      <c r="CB40" s="239"/>
      <c r="CC40" s="239"/>
      <c r="CD40" s="239"/>
      <c r="CE40" s="239"/>
      <c r="CF40" s="239"/>
      <c r="CG40" s="239"/>
      <c r="CH40" s="239"/>
      <c r="CI40" s="239"/>
      <c r="CJ40" s="239"/>
      <c r="CK40" s="255" t="str">
        <f>IF(Capaian1!CB38&lt;&gt;"",Capaian1!CB38,"")</f>
        <v/>
      </c>
      <c r="CL40" s="255" t="str">
        <f>IF(Capaian1!CC38&lt;&gt;"",Capaian1!CC38,"")</f>
        <v/>
      </c>
      <c r="CM40" s="255" t="str">
        <f>IF(Capaian1!CD38&lt;&gt;"",Capaian1!CD38,"")</f>
        <v/>
      </c>
      <c r="CN40" s="239"/>
      <c r="CO40" s="239"/>
      <c r="CP40" s="239"/>
      <c r="CQ40" s="255">
        <f>IF(Capaian1!CH38&lt;&gt;"",Capaian1!CH38,"")</f>
        <v>3.5466666666666664</v>
      </c>
      <c r="CR40" s="255">
        <f>IF(Capaian1!CI38&lt;&gt;"",Capaian1!CI38,"")</f>
        <v>3.54</v>
      </c>
      <c r="CS40" s="255" t="str">
        <f>IF(Capaian1!CJ38&lt;&gt;"",Capaian1!CJ38,"")</f>
        <v>B</v>
      </c>
      <c r="CT40" s="239" t="str">
        <f>IF(Capaian1!CK38&lt;&gt;"",Capaian1!CK38,"")</f>
        <v/>
      </c>
      <c r="CU40" s="239" t="str">
        <f>IF(Capaian1!CL38&lt;&gt;"",Capaian1!CL38,"")</f>
        <v/>
      </c>
      <c r="CV40" s="239" t="str">
        <f>IF(Capaian1!CM38&lt;&gt;"",Capaian1!CM38,"")</f>
        <v/>
      </c>
      <c r="CW40" s="239" t="str">
        <f>IF(Capaian1!CN38&lt;&gt;"",Capaian1!CN38,"")</f>
        <v>--</v>
      </c>
      <c r="CX40" s="239" t="str">
        <f>IF(Capaian1!CO38&lt;&gt;"",Capaian1!CO38,"")</f>
        <v/>
      </c>
      <c r="CY40" s="239" t="str">
        <f>IF(Capaian1!CP38&lt;&gt;"",Capaian1!CP38,"")</f>
        <v>--</v>
      </c>
      <c r="CZ40" s="239" t="str">
        <f>IF(Capaian1!CQ38&lt;&gt;"",Capaian1!CQ38,"")</f>
        <v/>
      </c>
      <c r="DA40" s="239">
        <f>IF(Capaian1!CR38&lt;&gt;"",Capaian1!CR38,"")</f>
        <v>1</v>
      </c>
      <c r="DB40" s="239">
        <f>IF(Capaian1!CS38&lt;&gt;"",Capaian1!CS38,"")</f>
        <v>0</v>
      </c>
      <c r="DC40" s="239">
        <f>IF(Capaian1!CT38&lt;&gt;"",Capaian1!CT38,"")</f>
        <v>0</v>
      </c>
    </row>
    <row r="41" spans="2:107" s="234" customFormat="1" x14ac:dyDescent="0.25">
      <c r="B41" s="238">
        <v>35</v>
      </c>
      <c r="C41" s="238" t="str">
        <f>Peserta_Didik!D37</f>
        <v>1314.10.141</v>
      </c>
      <c r="D41" s="238" t="str">
        <f>Peserta_Didik!C37</f>
        <v>Teti Hanira</v>
      </c>
      <c r="E41" s="239">
        <f>IF(Capaian1!E39&lt;&gt;"",Capaian1!E39,"")</f>
        <v>3.3759999999999994</v>
      </c>
      <c r="F41" s="239">
        <f>IF(Capaian1!F39&lt;&gt;"",Capaian1!F39,"")</f>
        <v>3.58</v>
      </c>
      <c r="G41" s="239" t="str">
        <f>IF(Capaian1!G39&lt;&gt;"",Capaian1!G39,"")</f>
        <v>B</v>
      </c>
      <c r="H41" s="239">
        <f>IF(Capaian1!H39&lt;&gt;"",Capaian1!H39,"")</f>
        <v>3.2560000000000002</v>
      </c>
      <c r="I41" s="239">
        <f>IF(Capaian1!I39&lt;&gt;"",Capaian1!I39,"")</f>
        <v>3.4</v>
      </c>
      <c r="J41" s="239" t="str">
        <f>IF(Capaian1!J39&lt;&gt;"",Capaian1!J39,"")</f>
        <v>B</v>
      </c>
      <c r="K41" s="239">
        <f>IF(Capaian1!K39&lt;&gt;"",Capaian1!K39,"")</f>
        <v>3.6719999999999997</v>
      </c>
      <c r="L41" s="239">
        <f>IF(Capaian1!L39&lt;&gt;"",Capaian1!L39,"")</f>
        <v>3.4</v>
      </c>
      <c r="M41" s="239" t="str">
        <f>IF(Capaian1!M39&lt;&gt;"",Capaian1!M39,"")</f>
        <v>B</v>
      </c>
      <c r="N41" s="239">
        <f>IF(Capaian1!N39&lt;&gt;"",Capaian1!N39,"")</f>
        <v>2.698142857142857</v>
      </c>
      <c r="O41" s="239">
        <f>IF(Capaian1!O39&lt;&gt;"",Capaian1!O39,"")</f>
        <v>2.8323809523809524</v>
      </c>
      <c r="P41" s="239" t="str">
        <f>IF(Capaian1!P39&lt;&gt;"",Capaian1!P39,"")</f>
        <v>B</v>
      </c>
      <c r="Q41" s="239">
        <f>IF(Capaian1!Q39&lt;&gt;"",Capaian1!Q39,"")</f>
        <v>3.2466666666666661</v>
      </c>
      <c r="R41" s="239">
        <f>IF(Capaian1!R39&lt;&gt;"",Capaian1!R39,"")</f>
        <v>3.32</v>
      </c>
      <c r="S41" s="239" t="str">
        <f>IF(Capaian1!S39&lt;&gt;"",Capaian1!S39,"")</f>
        <v>B</v>
      </c>
      <c r="T41" s="239">
        <f>IF(Capaian1!T39&lt;&gt;"",Capaian1!T39,"")</f>
        <v>3.2640000000000002</v>
      </c>
      <c r="U41" s="239">
        <f>IF(Capaian1!U39&lt;&gt;"",Capaian1!U39,"")</f>
        <v>3.2239999999999998</v>
      </c>
      <c r="V41" s="239" t="str">
        <f>IF(Capaian1!V39&lt;&gt;"",Capaian1!V39,"")</f>
        <v>B</v>
      </c>
      <c r="W41" s="239">
        <f>IF(Capaian1!W39&lt;&gt;"",Capaian1!W39,"")</f>
        <v>3.4751999999999996</v>
      </c>
      <c r="X41" s="239">
        <f>IF(Capaian1!X39&lt;&gt;"",Capaian1!X39,"")</f>
        <v>3.4560000000000004</v>
      </c>
      <c r="Y41" s="239" t="str">
        <f>IF(Capaian1!Y39&lt;&gt;"",Capaian1!Y39,"")</f>
        <v>B</v>
      </c>
      <c r="Z41" s="239">
        <f>IF(Capaian1!Z39&lt;&gt;"",Capaian1!Z39,"")</f>
        <v>3.12</v>
      </c>
      <c r="AA41" s="239">
        <f>IF(Capaian1!AA39&lt;&gt;"",Capaian1!AA39,"")</f>
        <v>3.2439999999999998</v>
      </c>
      <c r="AB41" s="239" t="str">
        <f>IF(Capaian1!AB39&lt;&gt;"",Capaian1!AB39,"")</f>
        <v>B</v>
      </c>
      <c r="AC41" s="239">
        <f>IF(Capaian1!AC39&lt;&gt;"",Capaian1!AC39,"")</f>
        <v>3.24</v>
      </c>
      <c r="AD41" s="239">
        <f>IF(Capaian1!AD39&lt;&gt;"",Capaian1!AD39,"")</f>
        <v>3.28</v>
      </c>
      <c r="AE41" s="239" t="str">
        <f>IF(Capaian1!AE39&lt;&gt;"",Capaian1!AE39,"")</f>
        <v>B</v>
      </c>
      <c r="AF41" s="239">
        <f>IF(Capaian1!AF39&lt;&gt;"",Capaian1!AF39,"")</f>
        <v>2.903285714285714</v>
      </c>
      <c r="AG41" s="239">
        <f>IF(Capaian1!AG39&lt;&gt;"",Capaian1!AG39,"")</f>
        <v>3.05</v>
      </c>
      <c r="AH41" s="239" t="str">
        <f>IF(Capaian1!AH39&lt;&gt;"",Capaian1!AH39,"")</f>
        <v>SB</v>
      </c>
      <c r="AI41" s="239">
        <f>IF(Capaian1!AI39&lt;&gt;"",Capaian1!AI39,"")</f>
        <v>3.1943999999999999</v>
      </c>
      <c r="AJ41" s="239">
        <f>IF(Capaian1!AJ39&lt;&gt;"",Capaian1!AJ39,"")</f>
        <v>3.2160000000000002</v>
      </c>
      <c r="AK41" s="239" t="str">
        <f>IF(Capaian1!AK39&lt;&gt;"",Capaian1!AK39,"")</f>
        <v>B</v>
      </c>
      <c r="AL41" s="239"/>
      <c r="AM41" s="239"/>
      <c r="AN41" s="239"/>
      <c r="AO41" s="239"/>
      <c r="AP41" s="239"/>
      <c r="AQ41" s="239"/>
      <c r="AR41" s="239" t="str">
        <f>IF(Capaian1!AL39&lt;&gt;"",Capaian1!AL39,"")</f>
        <v/>
      </c>
      <c r="AS41" s="239" t="str">
        <f>IF(Capaian1!AM39&lt;&gt;"",Capaian1!AM39,"")</f>
        <v/>
      </c>
      <c r="AT41" s="239" t="str">
        <f>IF(Capaian1!AN39&lt;&gt;"",Capaian1!AN39,"")</f>
        <v/>
      </c>
      <c r="AU41" s="239"/>
      <c r="AV41" s="239"/>
      <c r="AW41" s="239"/>
      <c r="AX41" s="239">
        <f>IF(Capaian1!AX39&lt;&gt;"",Capaian1!AX39,"")</f>
        <v>3.2560000000000002</v>
      </c>
      <c r="AY41" s="239">
        <f>IF(Capaian1!AY39&lt;&gt;"",Capaian1!AY39,"")</f>
        <v>3.4</v>
      </c>
      <c r="AZ41" s="239" t="str">
        <f>IF(Capaian1!AZ39&lt;&gt;"",Capaian1!AZ39,"")</f>
        <v>B</v>
      </c>
      <c r="BA41" s="239">
        <f>IF(Capaian1!BA39&lt;&gt;"",Capaian1!BA39,"")</f>
        <v>3.3280000000000003</v>
      </c>
      <c r="BB41" s="239">
        <f>IF(Capaian1!BB39&lt;&gt;"",Capaian1!BB39,"")</f>
        <v>3.1839999999999997</v>
      </c>
      <c r="BC41" s="239" t="str">
        <f>IF(Capaian1!BC39&lt;&gt;"",Capaian1!BC39,"")</f>
        <v>B</v>
      </c>
      <c r="BD41" s="239">
        <f>IF(Capaian1!BD39&lt;&gt;"",Capaian1!BD39,"")</f>
        <v>3.1719999999999997</v>
      </c>
      <c r="BE41" s="239">
        <f>IF(Capaian1!BE39&lt;&gt;"",Capaian1!BE39,"")</f>
        <v>3.2996000000000003</v>
      </c>
      <c r="BF41" s="239" t="str">
        <f>IF(Capaian1!BF39&lt;&gt;"",Capaian1!BF39,"")</f>
        <v>B</v>
      </c>
      <c r="BG41" s="239">
        <f>IF(Capaian1!BG39&lt;&gt;"",Capaian1!BG39,"")</f>
        <v>2.9466666666666663</v>
      </c>
      <c r="BH41" s="239">
        <f>IF(Capaian1!BH39&lt;&gt;"",Capaian1!BH39,"")</f>
        <v>2.8666666666666663</v>
      </c>
      <c r="BI41" s="239" t="str">
        <f>IF(Capaian1!BI39&lt;&gt;"",Capaian1!BI39,"")</f>
        <v>B</v>
      </c>
      <c r="BJ41" s="239">
        <f>IF(Capaian1!BJ39&lt;&gt;"",Capaian1!BJ39,"")</f>
        <v>2.76</v>
      </c>
      <c r="BK41" s="239">
        <f>IF(Capaian1!BK39&lt;&gt;"",Capaian1!BK39,"")</f>
        <v>3.05</v>
      </c>
      <c r="BL41" s="239" t="str">
        <f>IF(Capaian1!BL39&lt;&gt;"",Capaian1!BL39,"")</f>
        <v>B</v>
      </c>
      <c r="BM41" s="239" t="str">
        <f>IF(Capaian1!BP39&lt;&gt;"",Capaian1!BP39,"")</f>
        <v/>
      </c>
      <c r="BN41" s="239" t="str">
        <f>IF(Capaian1!BQ39&lt;&gt;"",Capaian1!BQ39,"")</f>
        <v/>
      </c>
      <c r="BO41" s="239" t="str">
        <f>IF(Capaian1!BR39&lt;&gt;"",Capaian1!BR39,"")</f>
        <v/>
      </c>
      <c r="BP41" s="239" t="str">
        <f>IF(Capaian1!BS39&lt;&gt;"",Capaian1!BS39,"")</f>
        <v/>
      </c>
      <c r="BQ41" s="239" t="str">
        <f>IF(Capaian1!BT39&lt;&gt;"",Capaian1!BT39,"")</f>
        <v/>
      </c>
      <c r="BR41" s="239" t="str">
        <f>IF(Capaian1!BU39&lt;&gt;"",Capaian1!BU39,"")</f>
        <v/>
      </c>
      <c r="BS41" s="239" t="str">
        <f>IF(Capaian1!BV39&lt;&gt;"",Capaian1!BV39,"")</f>
        <v/>
      </c>
      <c r="BT41" s="239" t="str">
        <f>IF(Capaian1!BW39&lt;&gt;"",Capaian1!BW39,"")</f>
        <v/>
      </c>
      <c r="BU41" s="239" t="str">
        <f>IF(Capaian1!BX39&lt;&gt;"",Capaian1!BX39,"")</f>
        <v/>
      </c>
      <c r="BV41" s="239"/>
      <c r="BW41" s="239"/>
      <c r="BX41" s="239"/>
      <c r="BY41" s="239"/>
      <c r="BZ41" s="239"/>
      <c r="CA41" s="239"/>
      <c r="CB41" s="239"/>
      <c r="CC41" s="239"/>
      <c r="CD41" s="239"/>
      <c r="CE41" s="239"/>
      <c r="CF41" s="239"/>
      <c r="CG41" s="239"/>
      <c r="CH41" s="239"/>
      <c r="CI41" s="239"/>
      <c r="CJ41" s="239"/>
      <c r="CK41" s="255" t="str">
        <f>IF(Capaian1!CB39&lt;&gt;"",Capaian1!CB39,"")</f>
        <v/>
      </c>
      <c r="CL41" s="255" t="str">
        <f>IF(Capaian1!CC39&lt;&gt;"",Capaian1!CC39,"")</f>
        <v/>
      </c>
      <c r="CM41" s="255" t="str">
        <f>IF(Capaian1!CD39&lt;&gt;"",Capaian1!CD39,"")</f>
        <v/>
      </c>
      <c r="CN41" s="239"/>
      <c r="CO41" s="239"/>
      <c r="CP41" s="239"/>
      <c r="CQ41" s="255">
        <f>IF(Capaian1!CH39&lt;&gt;"",Capaian1!CH39,"")</f>
        <v>3.4933333333333336</v>
      </c>
      <c r="CR41" s="255">
        <f>IF(Capaian1!CI39&lt;&gt;"",Capaian1!CI39,"")</f>
        <v>3.5</v>
      </c>
      <c r="CS41" s="255" t="str">
        <f>IF(Capaian1!CJ39&lt;&gt;"",Capaian1!CJ39,"")</f>
        <v>B</v>
      </c>
      <c r="CT41" s="239" t="str">
        <f>IF(Capaian1!CK39&lt;&gt;"",Capaian1!CK39,"")</f>
        <v/>
      </c>
      <c r="CU41" s="239" t="str">
        <f>IF(Capaian1!CL39&lt;&gt;"",Capaian1!CL39,"")</f>
        <v/>
      </c>
      <c r="CV41" s="239" t="str">
        <f>IF(Capaian1!CM39&lt;&gt;"",Capaian1!CM39,"")</f>
        <v/>
      </c>
      <c r="CW41" s="239" t="str">
        <f>IF(Capaian1!CN39&lt;&gt;"",Capaian1!CN39,"")</f>
        <v>--</v>
      </c>
      <c r="CX41" s="239" t="str">
        <f>IF(Capaian1!CO39&lt;&gt;"",Capaian1!CO39,"")</f>
        <v/>
      </c>
      <c r="CY41" s="239" t="str">
        <f>IF(Capaian1!CP39&lt;&gt;"",Capaian1!CP39,"")</f>
        <v>--</v>
      </c>
      <c r="CZ41" s="239" t="str">
        <f>IF(Capaian1!CQ39&lt;&gt;"",Capaian1!CQ39,"")</f>
        <v/>
      </c>
      <c r="DA41" s="239">
        <f>IF(Capaian1!CR39&lt;&gt;"",Capaian1!CR39,"")</f>
        <v>1</v>
      </c>
      <c r="DB41" s="239">
        <f>IF(Capaian1!CS39&lt;&gt;"",Capaian1!CS39,"")</f>
        <v>1</v>
      </c>
      <c r="DC41" s="239">
        <f>IF(Capaian1!CT39&lt;&gt;"",Capaian1!CT39,"")</f>
        <v>0</v>
      </c>
    </row>
    <row r="42" spans="2:107" s="234" customFormat="1" x14ac:dyDescent="0.25">
      <c r="B42" s="238">
        <v>36</v>
      </c>
      <c r="C42" s="238" t="str">
        <f>Peserta_Didik!D38</f>
        <v>1314.10.142</v>
      </c>
      <c r="D42" s="238" t="str">
        <f>Peserta_Didik!C38</f>
        <v>Yongki Agustin</v>
      </c>
      <c r="E42" s="239">
        <f>IF(Capaian1!E40&lt;&gt;"",Capaian1!E40,"")</f>
        <v>3.3679999999999994</v>
      </c>
      <c r="F42" s="239">
        <f>IF(Capaian1!F40&lt;&gt;"",Capaian1!F40,"")</f>
        <v>3.34</v>
      </c>
      <c r="G42" s="239" t="str">
        <f>IF(Capaian1!G40&lt;&gt;"",Capaian1!G40,"")</f>
        <v>B</v>
      </c>
      <c r="H42" s="239">
        <f>IF(Capaian1!H40&lt;&gt;"",Capaian1!H40,"")</f>
        <v>3.12</v>
      </c>
      <c r="I42" s="239">
        <f>IF(Capaian1!I40&lt;&gt;"",Capaian1!I40,"")</f>
        <v>3.4</v>
      </c>
      <c r="J42" s="239" t="str">
        <f>IF(Capaian1!J40&lt;&gt;"",Capaian1!J40,"")</f>
        <v>B</v>
      </c>
      <c r="K42" s="239">
        <f>IF(Capaian1!K40&lt;&gt;"",Capaian1!K40,"")</f>
        <v>3.3360000000000003</v>
      </c>
      <c r="L42" s="239">
        <f>IF(Capaian1!L40&lt;&gt;"",Capaian1!L40,"")</f>
        <v>3.4</v>
      </c>
      <c r="M42" s="239" t="str">
        <f>IF(Capaian1!M40&lt;&gt;"",Capaian1!M40,"")</f>
        <v>B</v>
      </c>
      <c r="N42" s="239">
        <f>IF(Capaian1!N40&lt;&gt;"",Capaian1!N40,"")</f>
        <v>2.7334285714285715</v>
      </c>
      <c r="O42" s="239">
        <f>IF(Capaian1!O40&lt;&gt;"",Capaian1!O40,"")</f>
        <v>2.8731428571428577</v>
      </c>
      <c r="P42" s="239" t="str">
        <f>IF(Capaian1!P40&lt;&gt;"",Capaian1!P40,"")</f>
        <v>B</v>
      </c>
      <c r="Q42" s="239">
        <f>IF(Capaian1!Q40&lt;&gt;"",Capaian1!Q40,"")</f>
        <v>3.0853333333333328</v>
      </c>
      <c r="R42" s="239">
        <f>IF(Capaian1!R40&lt;&gt;"",Capaian1!R40,"")</f>
        <v>3.24</v>
      </c>
      <c r="S42" s="239" t="str">
        <f>IF(Capaian1!S40&lt;&gt;"",Capaian1!S40,"")</f>
        <v>B</v>
      </c>
      <c r="T42" s="239">
        <f>IF(Capaian1!T40&lt;&gt;"",Capaian1!T40,"")</f>
        <v>3.2640000000000002</v>
      </c>
      <c r="U42" s="239">
        <f>IF(Capaian1!U40&lt;&gt;"",Capaian1!U40,"")</f>
        <v>3.2239999999999998</v>
      </c>
      <c r="V42" s="239" t="str">
        <f>IF(Capaian1!V40&lt;&gt;"",Capaian1!V40,"")</f>
        <v>B</v>
      </c>
      <c r="W42" s="239">
        <f>IF(Capaian1!W40&lt;&gt;"",Capaian1!W40,"")</f>
        <v>3.2415999999999996</v>
      </c>
      <c r="X42" s="239">
        <f>IF(Capaian1!X40&lt;&gt;"",Capaian1!X40,"")</f>
        <v>3.22</v>
      </c>
      <c r="Y42" s="239" t="str">
        <f>IF(Capaian1!Y40&lt;&gt;"",Capaian1!Y40,"")</f>
        <v>B</v>
      </c>
      <c r="Z42" s="239">
        <f>IF(Capaian1!Z40&lt;&gt;"",Capaian1!Z40,"")</f>
        <v>3.6</v>
      </c>
      <c r="AA42" s="239">
        <f>IF(Capaian1!AA40&lt;&gt;"",Capaian1!AA40,"")</f>
        <v>3.4249999999999998</v>
      </c>
      <c r="AB42" s="239" t="str">
        <f>IF(Capaian1!AB40&lt;&gt;"",Capaian1!AB40,"")</f>
        <v>B</v>
      </c>
      <c r="AC42" s="239">
        <f>IF(Capaian1!AC40&lt;&gt;"",Capaian1!AC40,"")</f>
        <v>3.2719999999999998</v>
      </c>
      <c r="AD42" s="239">
        <f>IF(Capaian1!AD40&lt;&gt;"",Capaian1!AD40,"")</f>
        <v>3.34</v>
      </c>
      <c r="AE42" s="239" t="str">
        <f>IF(Capaian1!AE40&lt;&gt;"",Capaian1!AE40,"")</f>
        <v>B</v>
      </c>
      <c r="AF42" s="239">
        <f>IF(Capaian1!AF40&lt;&gt;"",Capaian1!AF40,"")</f>
        <v>2.903</v>
      </c>
      <c r="AG42" s="239">
        <f>IF(Capaian1!AG40&lt;&gt;"",Capaian1!AG40,"")</f>
        <v>3.05</v>
      </c>
      <c r="AH42" s="239" t="str">
        <f>IF(Capaian1!AH40&lt;&gt;"",Capaian1!AH40,"")</f>
        <v>B</v>
      </c>
      <c r="AI42" s="239">
        <f>IF(Capaian1!AI40&lt;&gt;"",Capaian1!AI40,"")</f>
        <v>3.0444</v>
      </c>
      <c r="AJ42" s="239">
        <f>IF(Capaian1!AJ40&lt;&gt;"",Capaian1!AJ40,"")</f>
        <v>3.1760000000000002</v>
      </c>
      <c r="AK42" s="239" t="str">
        <f>IF(Capaian1!AK40&lt;&gt;"",Capaian1!AK40,"")</f>
        <v>B</v>
      </c>
      <c r="AL42" s="239"/>
      <c r="AM42" s="239"/>
      <c r="AN42" s="239"/>
      <c r="AO42" s="239"/>
      <c r="AP42" s="239"/>
      <c r="AQ42" s="239"/>
      <c r="AR42" s="239" t="str">
        <f>IF(Capaian1!AL40&lt;&gt;"",Capaian1!AL40,"")</f>
        <v/>
      </c>
      <c r="AS42" s="239" t="str">
        <f>IF(Capaian1!AM40&lt;&gt;"",Capaian1!AM40,"")</f>
        <v/>
      </c>
      <c r="AT42" s="239" t="str">
        <f>IF(Capaian1!AN40&lt;&gt;"",Capaian1!AN40,"")</f>
        <v/>
      </c>
      <c r="AU42" s="239"/>
      <c r="AV42" s="239"/>
      <c r="AW42" s="239"/>
      <c r="AX42" s="239">
        <f>IF(Capaian1!AX40&lt;&gt;"",Capaian1!AX40,"")</f>
        <v>3.12</v>
      </c>
      <c r="AY42" s="239">
        <f>IF(Capaian1!AY40&lt;&gt;"",Capaian1!AY40,"")</f>
        <v>3.4</v>
      </c>
      <c r="AZ42" s="239" t="str">
        <f>IF(Capaian1!AZ40&lt;&gt;"",Capaian1!AZ40,"")</f>
        <v>B</v>
      </c>
      <c r="BA42" s="239">
        <f>IF(Capaian1!BA40&lt;&gt;"",Capaian1!BA40,"")</f>
        <v>3.2280000000000002</v>
      </c>
      <c r="BB42" s="239">
        <f>IF(Capaian1!BB40&lt;&gt;"",Capaian1!BB40,"")</f>
        <v>3.1839999999999997</v>
      </c>
      <c r="BC42" s="239" t="str">
        <f>IF(Capaian1!BC40&lt;&gt;"",Capaian1!BC40,"")</f>
        <v>B</v>
      </c>
      <c r="BD42" s="239">
        <f>IF(Capaian1!BD40&lt;&gt;"",Capaian1!BD40,"")</f>
        <v>3.242</v>
      </c>
      <c r="BE42" s="239">
        <f>IF(Capaian1!BE40&lt;&gt;"",Capaian1!BE40,"")</f>
        <v>3.3336000000000001</v>
      </c>
      <c r="BF42" s="239" t="str">
        <f>IF(Capaian1!BF40&lt;&gt;"",Capaian1!BF40,"")</f>
        <v>B</v>
      </c>
      <c r="BG42" s="239">
        <f>IF(Capaian1!BG40&lt;&gt;"",Capaian1!BG40,"")</f>
        <v>3.0933333333333337</v>
      </c>
      <c r="BH42" s="239">
        <f>IF(Capaian1!BH40&lt;&gt;"",Capaian1!BH40,"")</f>
        <v>3.1333333333333337</v>
      </c>
      <c r="BI42" s="239" t="str">
        <f>IF(Capaian1!BI40&lt;&gt;"",Capaian1!BI40,"")</f>
        <v>B</v>
      </c>
      <c r="BJ42" s="239">
        <f>IF(Capaian1!BJ40&lt;&gt;"",Capaian1!BJ40,"")</f>
        <v>3.08</v>
      </c>
      <c r="BK42" s="239">
        <f>IF(Capaian1!BK40&lt;&gt;"",Capaian1!BK40,"")</f>
        <v>3.25</v>
      </c>
      <c r="BL42" s="239" t="str">
        <f>IF(Capaian1!BL40&lt;&gt;"",Capaian1!BL40,"")</f>
        <v>B</v>
      </c>
      <c r="BM42" s="239" t="str">
        <f>IF(Capaian1!BP40&lt;&gt;"",Capaian1!BP40,"")</f>
        <v/>
      </c>
      <c r="BN42" s="239" t="str">
        <f>IF(Capaian1!BQ40&lt;&gt;"",Capaian1!BQ40,"")</f>
        <v/>
      </c>
      <c r="BO42" s="239" t="str">
        <f>IF(Capaian1!BR40&lt;&gt;"",Capaian1!BR40,"")</f>
        <v/>
      </c>
      <c r="BP42" s="239" t="str">
        <f>IF(Capaian1!BS40&lt;&gt;"",Capaian1!BS40,"")</f>
        <v/>
      </c>
      <c r="BQ42" s="239" t="str">
        <f>IF(Capaian1!BT40&lt;&gt;"",Capaian1!BT40,"")</f>
        <v/>
      </c>
      <c r="BR42" s="239" t="str">
        <f>IF(Capaian1!BU40&lt;&gt;"",Capaian1!BU40,"")</f>
        <v/>
      </c>
      <c r="BS42" s="239" t="str">
        <f>IF(Capaian1!BV40&lt;&gt;"",Capaian1!BV40,"")</f>
        <v/>
      </c>
      <c r="BT42" s="239" t="str">
        <f>IF(Capaian1!BW40&lt;&gt;"",Capaian1!BW40,"")</f>
        <v/>
      </c>
      <c r="BU42" s="239" t="str">
        <f>IF(Capaian1!BX40&lt;&gt;"",Capaian1!BX40,"")</f>
        <v/>
      </c>
      <c r="BV42" s="239"/>
      <c r="BW42" s="239"/>
      <c r="BX42" s="239"/>
      <c r="BY42" s="239"/>
      <c r="BZ42" s="239"/>
      <c r="CA42" s="239"/>
      <c r="CB42" s="239"/>
      <c r="CC42" s="239"/>
      <c r="CD42" s="239"/>
      <c r="CE42" s="239"/>
      <c r="CF42" s="239"/>
      <c r="CG42" s="239"/>
      <c r="CH42" s="239"/>
      <c r="CI42" s="239"/>
      <c r="CJ42" s="239"/>
      <c r="CK42" s="255" t="str">
        <f>IF(Capaian1!CB40&lt;&gt;"",Capaian1!CB40,"")</f>
        <v/>
      </c>
      <c r="CL42" s="255" t="str">
        <f>IF(Capaian1!CC40&lt;&gt;"",Capaian1!CC40,"")</f>
        <v/>
      </c>
      <c r="CM42" s="255" t="str">
        <f>IF(Capaian1!CD40&lt;&gt;"",Capaian1!CD40,"")</f>
        <v/>
      </c>
      <c r="CN42" s="239"/>
      <c r="CO42" s="239"/>
      <c r="CP42" s="239"/>
      <c r="CQ42" s="255">
        <f>IF(Capaian1!CH40&lt;&gt;"",Capaian1!CH40,"")</f>
        <v>3.4466666666666663</v>
      </c>
      <c r="CR42" s="255">
        <f>IF(Capaian1!CI40&lt;&gt;"",Capaian1!CI40,"")</f>
        <v>3.5</v>
      </c>
      <c r="CS42" s="255" t="str">
        <f>IF(Capaian1!CJ40&lt;&gt;"",Capaian1!CJ40,"")</f>
        <v>B</v>
      </c>
      <c r="CT42" s="239" t="str">
        <f>IF(Capaian1!CK40&lt;&gt;"",Capaian1!CK40,"")</f>
        <v/>
      </c>
      <c r="CU42" s="239" t="str">
        <f>IF(Capaian1!CL40&lt;&gt;"",Capaian1!CL40,"")</f>
        <v/>
      </c>
      <c r="CV42" s="239" t="str">
        <f>IF(Capaian1!CM40&lt;&gt;"",Capaian1!CM40,"")</f>
        <v/>
      </c>
      <c r="CW42" s="239" t="str">
        <f>IF(Capaian1!CN40&lt;&gt;"",Capaian1!CN40,"")</f>
        <v>OSIS</v>
      </c>
      <c r="CX42" s="239" t="str">
        <f>IF(Capaian1!CO40&lt;&gt;"",Capaian1!CO40,"")</f>
        <v>A</v>
      </c>
      <c r="CY42" s="239" t="str">
        <f>IF(Capaian1!CP40&lt;&gt;"",Capaian1!CP40,"")</f>
        <v>--</v>
      </c>
      <c r="CZ42" s="239" t="str">
        <f>IF(Capaian1!CQ40&lt;&gt;"",Capaian1!CQ40,"")</f>
        <v/>
      </c>
      <c r="DA42" s="239">
        <f>IF(Capaian1!CR40&lt;&gt;"",Capaian1!CR40,"")</f>
        <v>0</v>
      </c>
      <c r="DB42" s="239">
        <f>IF(Capaian1!CS40&lt;&gt;"",Capaian1!CS40,"")</f>
        <v>0</v>
      </c>
      <c r="DC42" s="239">
        <f>IF(Capaian1!CT40&lt;&gt;"",Capaian1!CT40,"")</f>
        <v>0</v>
      </c>
    </row>
    <row r="43" spans="2:107" s="234" customFormat="1" x14ac:dyDescent="0.25">
      <c r="B43" s="238">
        <v>37</v>
      </c>
      <c r="C43" s="238" t="str">
        <f>Peserta_Didik!D39</f>
        <v>1314.10.143</v>
      </c>
      <c r="D43" s="238" t="str">
        <f>Peserta_Didik!C39</f>
        <v>Yusi Ridwan Firdaus</v>
      </c>
      <c r="E43" s="239">
        <f>IF(Capaian1!E41&lt;&gt;"",Capaian1!E41,"")</f>
        <v>3.2639999999999998</v>
      </c>
      <c r="F43" s="239">
        <f>IF(Capaian1!F41&lt;&gt;"",Capaian1!F41,"")</f>
        <v>3.32</v>
      </c>
      <c r="G43" s="239" t="str">
        <f>IF(Capaian1!G41&lt;&gt;"",Capaian1!G41,"")</f>
        <v>B</v>
      </c>
      <c r="H43" s="239">
        <f>IF(Capaian1!H41&lt;&gt;"",Capaian1!H41,"")</f>
        <v>3.12</v>
      </c>
      <c r="I43" s="239">
        <f>IF(Capaian1!I41&lt;&gt;"",Capaian1!I41,"")</f>
        <v>3.26</v>
      </c>
      <c r="J43" s="239" t="str">
        <f>IF(Capaian1!J41&lt;&gt;"",Capaian1!J41,"")</f>
        <v>B</v>
      </c>
      <c r="K43" s="239">
        <f>IF(Capaian1!K41&lt;&gt;"",Capaian1!K41,"")</f>
        <v>3.3439999999999999</v>
      </c>
      <c r="L43" s="239">
        <f>IF(Capaian1!L41&lt;&gt;"",Capaian1!L41,"")</f>
        <v>3.2</v>
      </c>
      <c r="M43" s="239" t="str">
        <f>IF(Capaian1!M41&lt;&gt;"",Capaian1!M41,"")</f>
        <v>B</v>
      </c>
      <c r="N43" s="239">
        <f>IF(Capaian1!N41&lt;&gt;"",Capaian1!N41,"")</f>
        <v>2.6280000000000001</v>
      </c>
      <c r="O43" s="239">
        <f>IF(Capaian1!O41&lt;&gt;"",Capaian1!O41,"")</f>
        <v>2.6853333333333329</v>
      </c>
      <c r="P43" s="239" t="str">
        <f>IF(Capaian1!P41&lt;&gt;"",Capaian1!P41,"")</f>
        <v>B</v>
      </c>
      <c r="Q43" s="239">
        <f>IF(Capaian1!Q41&lt;&gt;"",Capaian1!Q41,"")</f>
        <v>3.0813333333333333</v>
      </c>
      <c r="R43" s="239">
        <f>IF(Capaian1!R41&lt;&gt;"",Capaian1!R41,"")</f>
        <v>3.1933333333333334</v>
      </c>
      <c r="S43" s="239" t="str">
        <f>IF(Capaian1!S41&lt;&gt;"",Capaian1!S41,"")</f>
        <v>B</v>
      </c>
      <c r="T43" s="239">
        <f>IF(Capaian1!T41&lt;&gt;"",Capaian1!T41,"")</f>
        <v>3.2640000000000002</v>
      </c>
      <c r="U43" s="239">
        <f>IF(Capaian1!U41&lt;&gt;"",Capaian1!U41,"")</f>
        <v>3.2239999999999998</v>
      </c>
      <c r="V43" s="239" t="str">
        <f>IF(Capaian1!V41&lt;&gt;"",Capaian1!V41,"")</f>
        <v>B</v>
      </c>
      <c r="W43" s="239">
        <f>IF(Capaian1!W41&lt;&gt;"",Capaian1!W41,"")</f>
        <v>3.2415999999999996</v>
      </c>
      <c r="X43" s="239">
        <f>IF(Capaian1!X41&lt;&gt;"",Capaian1!X41,"")</f>
        <v>3.22</v>
      </c>
      <c r="Y43" s="239" t="str">
        <f>IF(Capaian1!Y41&lt;&gt;"",Capaian1!Y41,"")</f>
        <v>B</v>
      </c>
      <c r="Z43" s="239">
        <f>IF(Capaian1!Z41&lt;&gt;"",Capaian1!Z41,"")</f>
        <v>3.12</v>
      </c>
      <c r="AA43" s="239">
        <f>IF(Capaian1!AA41&lt;&gt;"",Capaian1!AA41,"")</f>
        <v>3.4289999999999998</v>
      </c>
      <c r="AB43" s="239" t="str">
        <f>IF(Capaian1!AB41&lt;&gt;"",Capaian1!AB41,"")</f>
        <v>B</v>
      </c>
      <c r="AC43" s="239">
        <f>IF(Capaian1!AC41&lt;&gt;"",Capaian1!AC41,"")</f>
        <v>3.2</v>
      </c>
      <c r="AD43" s="239">
        <f>IF(Capaian1!AD41&lt;&gt;"",Capaian1!AD41,"")</f>
        <v>3.28</v>
      </c>
      <c r="AE43" s="239" t="str">
        <f>IF(Capaian1!AE41&lt;&gt;"",Capaian1!AE41,"")</f>
        <v>B</v>
      </c>
      <c r="AF43" s="239">
        <f>IF(Capaian1!AF41&lt;&gt;"",Capaian1!AF41,"")</f>
        <v>2.8730000000000002</v>
      </c>
      <c r="AG43" s="239">
        <f>IF(Capaian1!AG41&lt;&gt;"",Capaian1!AG41,"")</f>
        <v>3.05</v>
      </c>
      <c r="AH43" s="239" t="str">
        <f>IF(Capaian1!AH41&lt;&gt;"",Capaian1!AH41,"")</f>
        <v>B</v>
      </c>
      <c r="AI43" s="239">
        <f>IF(Capaian1!AI41&lt;&gt;"",Capaian1!AI41,"")</f>
        <v>3.0636000000000001</v>
      </c>
      <c r="AJ43" s="239">
        <f>IF(Capaian1!AJ41&lt;&gt;"",Capaian1!AJ41,"")</f>
        <v>3.1839999999999997</v>
      </c>
      <c r="AK43" s="239" t="str">
        <f>IF(Capaian1!AK41&lt;&gt;"",Capaian1!AK41,"")</f>
        <v>B</v>
      </c>
      <c r="AL43" s="239"/>
      <c r="AM43" s="239"/>
      <c r="AN43" s="239"/>
      <c r="AO43" s="239"/>
      <c r="AP43" s="239"/>
      <c r="AQ43" s="239"/>
      <c r="AR43" s="239" t="str">
        <f>IF(Capaian1!AL41&lt;&gt;"",Capaian1!AL41,"")</f>
        <v/>
      </c>
      <c r="AS43" s="239" t="str">
        <f>IF(Capaian1!AM41&lt;&gt;"",Capaian1!AM41,"")</f>
        <v/>
      </c>
      <c r="AT43" s="239" t="str">
        <f>IF(Capaian1!AN41&lt;&gt;"",Capaian1!AN41,"")</f>
        <v/>
      </c>
      <c r="AU43" s="239"/>
      <c r="AV43" s="239"/>
      <c r="AW43" s="239"/>
      <c r="AX43" s="239">
        <f>IF(Capaian1!AX41&lt;&gt;"",Capaian1!AX41,"")</f>
        <v>3.12</v>
      </c>
      <c r="AY43" s="239">
        <f>IF(Capaian1!AY41&lt;&gt;"",Capaian1!AY41,"")</f>
        <v>3.26</v>
      </c>
      <c r="AZ43" s="239" t="str">
        <f>IF(Capaian1!AZ41&lt;&gt;"",Capaian1!AZ41,"")</f>
        <v>B</v>
      </c>
      <c r="BA43" s="239">
        <f>IF(Capaian1!BA41&lt;&gt;"",Capaian1!BA41,"")</f>
        <v>3.2046000000000006</v>
      </c>
      <c r="BB43" s="239">
        <f>IF(Capaian1!BB41&lt;&gt;"",Capaian1!BB41,"")</f>
        <v>3.1839999999999997</v>
      </c>
      <c r="BC43" s="239" t="str">
        <f>IF(Capaian1!BC41&lt;&gt;"",Capaian1!BC41,"")</f>
        <v>B</v>
      </c>
      <c r="BD43" s="239">
        <f>IF(Capaian1!BD41&lt;&gt;"",Capaian1!BD41,"")</f>
        <v>3.1919999999999997</v>
      </c>
      <c r="BE43" s="239">
        <f>IF(Capaian1!BE41&lt;&gt;"",Capaian1!BE41,"")</f>
        <v>3.2755999999999998</v>
      </c>
      <c r="BF43" s="239" t="str">
        <f>IF(Capaian1!BF41&lt;&gt;"",Capaian1!BF41,"")</f>
        <v>B</v>
      </c>
      <c r="BG43" s="239">
        <f>IF(Capaian1!BG41&lt;&gt;"",Capaian1!BG41,"")</f>
        <v>3.0533333333333337</v>
      </c>
      <c r="BH43" s="239">
        <f>IF(Capaian1!BH41&lt;&gt;"",Capaian1!BH41,"")</f>
        <v>3.2333333333333338</v>
      </c>
      <c r="BI43" s="239" t="str">
        <f>IF(Capaian1!BI41&lt;&gt;"",Capaian1!BI41,"")</f>
        <v>B</v>
      </c>
      <c r="BJ43" s="239">
        <f>IF(Capaian1!BJ41&lt;&gt;"",Capaian1!BJ41,"")</f>
        <v>3</v>
      </c>
      <c r="BK43" s="239">
        <f>IF(Capaian1!BK41&lt;&gt;"",Capaian1!BK41,"")</f>
        <v>3</v>
      </c>
      <c r="BL43" s="239" t="str">
        <f>IF(Capaian1!BL41&lt;&gt;"",Capaian1!BL41,"")</f>
        <v>B</v>
      </c>
      <c r="BM43" s="239" t="str">
        <f>IF(Capaian1!BP41&lt;&gt;"",Capaian1!BP41,"")</f>
        <v/>
      </c>
      <c r="BN43" s="239" t="str">
        <f>IF(Capaian1!BQ41&lt;&gt;"",Capaian1!BQ41,"")</f>
        <v/>
      </c>
      <c r="BO43" s="239" t="str">
        <f>IF(Capaian1!BR41&lt;&gt;"",Capaian1!BR41,"")</f>
        <v/>
      </c>
      <c r="BP43" s="239" t="str">
        <f>IF(Capaian1!BS41&lt;&gt;"",Capaian1!BS41,"")</f>
        <v/>
      </c>
      <c r="BQ43" s="239" t="str">
        <f>IF(Capaian1!BT41&lt;&gt;"",Capaian1!BT41,"")</f>
        <v/>
      </c>
      <c r="BR43" s="239" t="str">
        <f>IF(Capaian1!BU41&lt;&gt;"",Capaian1!BU41,"")</f>
        <v/>
      </c>
      <c r="BS43" s="239" t="str">
        <f>IF(Capaian1!BV41&lt;&gt;"",Capaian1!BV41,"")</f>
        <v/>
      </c>
      <c r="BT43" s="239" t="str">
        <f>IF(Capaian1!BW41&lt;&gt;"",Capaian1!BW41,"")</f>
        <v/>
      </c>
      <c r="BU43" s="239" t="str">
        <f>IF(Capaian1!BX41&lt;&gt;"",Capaian1!BX41,"")</f>
        <v/>
      </c>
      <c r="BV43" s="239"/>
      <c r="BW43" s="239"/>
      <c r="BX43" s="239"/>
      <c r="BY43" s="239"/>
      <c r="BZ43" s="239"/>
      <c r="CA43" s="239"/>
      <c r="CB43" s="239"/>
      <c r="CC43" s="239"/>
      <c r="CD43" s="239"/>
      <c r="CE43" s="239"/>
      <c r="CF43" s="239"/>
      <c r="CG43" s="239"/>
      <c r="CH43" s="239"/>
      <c r="CI43" s="239"/>
      <c r="CJ43" s="239"/>
      <c r="CK43" s="255" t="str">
        <f>IF(Capaian1!CB41&lt;&gt;"",Capaian1!CB41,"")</f>
        <v/>
      </c>
      <c r="CL43" s="255" t="str">
        <f>IF(Capaian1!CC41&lt;&gt;"",Capaian1!CC41,"")</f>
        <v/>
      </c>
      <c r="CM43" s="255" t="str">
        <f>IF(Capaian1!CD41&lt;&gt;"",Capaian1!CD41,"")</f>
        <v/>
      </c>
      <c r="CN43" s="239"/>
      <c r="CO43" s="239"/>
      <c r="CP43" s="239"/>
      <c r="CQ43" s="255">
        <f>IF(Capaian1!CH41&lt;&gt;"",Capaian1!CH41,"")</f>
        <v>3.4333333333333336</v>
      </c>
      <c r="CR43" s="255">
        <f>IF(Capaian1!CI41&lt;&gt;"",Capaian1!CI41,"")</f>
        <v>3.5</v>
      </c>
      <c r="CS43" s="255" t="str">
        <f>IF(Capaian1!CJ41&lt;&gt;"",Capaian1!CJ41,"")</f>
        <v>B</v>
      </c>
      <c r="CT43" s="239" t="str">
        <f>IF(Capaian1!CK41&lt;&gt;"",Capaian1!CK41,"")</f>
        <v/>
      </c>
      <c r="CU43" s="239" t="str">
        <f>IF(Capaian1!CL41&lt;&gt;"",Capaian1!CL41,"")</f>
        <v/>
      </c>
      <c r="CV43" s="239" t="str">
        <f>IF(Capaian1!CM41&lt;&gt;"",Capaian1!CM41,"")</f>
        <v/>
      </c>
      <c r="CW43" s="239" t="str">
        <f>IF(Capaian1!CN41&lt;&gt;"",Capaian1!CN41,"")</f>
        <v>OSIS</v>
      </c>
      <c r="CX43" s="239" t="str">
        <f>IF(Capaian1!CO41&lt;&gt;"",Capaian1!CO41,"")</f>
        <v>B</v>
      </c>
      <c r="CY43" s="239" t="str">
        <f>IF(Capaian1!CP41&lt;&gt;"",Capaian1!CP41,"")</f>
        <v>--</v>
      </c>
      <c r="CZ43" s="239" t="str">
        <f>IF(Capaian1!CQ41&lt;&gt;"",Capaian1!CQ41,"")</f>
        <v/>
      </c>
      <c r="DA43" s="239">
        <f>IF(Capaian1!CR41&lt;&gt;"",Capaian1!CR41,"")</f>
        <v>3</v>
      </c>
      <c r="DB43" s="239">
        <f>IF(Capaian1!CS41&lt;&gt;"",Capaian1!CS41,"")</f>
        <v>0</v>
      </c>
      <c r="DC43" s="239">
        <f>IF(Capaian1!CT41&lt;&gt;"",Capaian1!CT41,"")</f>
        <v>0</v>
      </c>
    </row>
    <row r="44" spans="2:107" s="234" customFormat="1" x14ac:dyDescent="0.25">
      <c r="B44" s="238">
        <v>38</v>
      </c>
      <c r="C44" s="238" t="str">
        <f>Peserta_Didik!D40</f>
        <v>1314.10.144</v>
      </c>
      <c r="D44" s="238" t="str">
        <f>Peserta_Didik!C40</f>
        <v>Zineda Zidan</v>
      </c>
      <c r="E44" s="239">
        <f>IF(Capaian1!E42&lt;&gt;"",Capaian1!E42,"")</f>
        <v>3.2879999999999994</v>
      </c>
      <c r="F44" s="239">
        <f>IF(Capaian1!F42&lt;&gt;"",Capaian1!F42,"")</f>
        <v>3.24</v>
      </c>
      <c r="G44" s="239" t="str">
        <f>IF(Capaian1!G42&lt;&gt;"",Capaian1!G42,"")</f>
        <v>B</v>
      </c>
      <c r="H44" s="239">
        <f>IF(Capaian1!H42&lt;&gt;"",Capaian1!H42,"")</f>
        <v>3.1280000000000001</v>
      </c>
      <c r="I44" s="239">
        <f>IF(Capaian1!I42&lt;&gt;"",Capaian1!I42,"")</f>
        <v>3.28</v>
      </c>
      <c r="J44" s="239" t="str">
        <f>IF(Capaian1!J42&lt;&gt;"",Capaian1!J42,"")</f>
        <v>B</v>
      </c>
      <c r="K44" s="239">
        <f>IF(Capaian1!K42&lt;&gt;"",Capaian1!K42,"")</f>
        <v>3.6719999999999997</v>
      </c>
      <c r="L44" s="239">
        <f>IF(Capaian1!L42&lt;&gt;"",Capaian1!L42,"")</f>
        <v>3.2</v>
      </c>
      <c r="M44" s="239" t="str">
        <f>IF(Capaian1!M42&lt;&gt;"",Capaian1!M42,"")</f>
        <v>B</v>
      </c>
      <c r="N44" s="239">
        <f>IF(Capaian1!N42&lt;&gt;"",Capaian1!N42,"")</f>
        <v>3.1661428571428569</v>
      </c>
      <c r="O44" s="239">
        <f>IF(Capaian1!O42&lt;&gt;"",Capaian1!O42,"")</f>
        <v>3.3737142857142857</v>
      </c>
      <c r="P44" s="239" t="str">
        <f>IF(Capaian1!P42&lt;&gt;"",Capaian1!P42,"")</f>
        <v>B</v>
      </c>
      <c r="Q44" s="239">
        <f>IF(Capaian1!Q42&lt;&gt;"",Capaian1!Q42,"")</f>
        <v>3.2159999999999997</v>
      </c>
      <c r="R44" s="239">
        <f>IF(Capaian1!R42&lt;&gt;"",Capaian1!R42,"")</f>
        <v>3.2</v>
      </c>
      <c r="S44" s="239" t="str">
        <f>IF(Capaian1!S42&lt;&gt;"",Capaian1!S42,"")</f>
        <v>B</v>
      </c>
      <c r="T44" s="239">
        <f>IF(Capaian1!T42&lt;&gt;"",Capaian1!T42,"")</f>
        <v>3.2640000000000002</v>
      </c>
      <c r="U44" s="239">
        <f>IF(Capaian1!U42&lt;&gt;"",Capaian1!U42,"")</f>
        <v>3.2239999999999998</v>
      </c>
      <c r="V44" s="239" t="str">
        <f>IF(Capaian1!V42&lt;&gt;"",Capaian1!V42,"")</f>
        <v>B</v>
      </c>
      <c r="W44" s="239">
        <f>IF(Capaian1!W42&lt;&gt;"",Capaian1!W42,"")</f>
        <v>3.2368000000000001</v>
      </c>
      <c r="X44" s="239">
        <f>IF(Capaian1!X42&lt;&gt;"",Capaian1!X42,"")</f>
        <v>3.2319999999999998</v>
      </c>
      <c r="Y44" s="239" t="str">
        <f>IF(Capaian1!Y42&lt;&gt;"",Capaian1!Y42,"")</f>
        <v>B</v>
      </c>
      <c r="Z44" s="239">
        <f>IF(Capaian1!Z42&lt;&gt;"",Capaian1!Z42,"")</f>
        <v>3.2</v>
      </c>
      <c r="AA44" s="239">
        <f>IF(Capaian1!AA42&lt;&gt;"",Capaian1!AA42,"")</f>
        <v>3.2239999999999998</v>
      </c>
      <c r="AB44" s="239" t="str">
        <f>IF(Capaian1!AB42&lt;&gt;"",Capaian1!AB42,"")</f>
        <v>B</v>
      </c>
      <c r="AC44" s="239">
        <f>IF(Capaian1!AC42&lt;&gt;"",Capaian1!AC42,"")</f>
        <v>3.24</v>
      </c>
      <c r="AD44" s="239">
        <f>IF(Capaian1!AD42&lt;&gt;"",Capaian1!AD42,"")</f>
        <v>3.28</v>
      </c>
      <c r="AE44" s="239" t="str">
        <f>IF(Capaian1!AE42&lt;&gt;"",Capaian1!AE42,"")</f>
        <v>B</v>
      </c>
      <c r="AF44" s="239">
        <f>IF(Capaian1!AF42&lt;&gt;"",Capaian1!AF42,"")</f>
        <v>3.048</v>
      </c>
      <c r="AG44" s="239">
        <f>IF(Capaian1!AG42&lt;&gt;"",Capaian1!AG42,"")</f>
        <v>3.13</v>
      </c>
      <c r="AH44" s="239" t="str">
        <f>IF(Capaian1!AH42&lt;&gt;"",Capaian1!AH42,"")</f>
        <v>B</v>
      </c>
      <c r="AI44" s="239">
        <f>IF(Capaian1!AI42&lt;&gt;"",Capaian1!AI42,"")</f>
        <v>3.1280000000000001</v>
      </c>
      <c r="AJ44" s="239">
        <f>IF(Capaian1!AJ42&lt;&gt;"",Capaian1!AJ42,"")</f>
        <v>3.1680000000000001</v>
      </c>
      <c r="AK44" s="239" t="str">
        <f>IF(Capaian1!AK42&lt;&gt;"",Capaian1!AK42,"")</f>
        <v>B</v>
      </c>
      <c r="AL44" s="239"/>
      <c r="AM44" s="239"/>
      <c r="AN44" s="239"/>
      <c r="AO44" s="239"/>
      <c r="AP44" s="239"/>
      <c r="AQ44" s="239"/>
      <c r="AR44" s="239" t="str">
        <f>IF(Capaian1!AL42&lt;&gt;"",Capaian1!AL42,"")</f>
        <v/>
      </c>
      <c r="AS44" s="239" t="str">
        <f>IF(Capaian1!AM42&lt;&gt;"",Capaian1!AM42,"")</f>
        <v/>
      </c>
      <c r="AT44" s="239" t="str">
        <f>IF(Capaian1!AN42&lt;&gt;"",Capaian1!AN42,"")</f>
        <v/>
      </c>
      <c r="AU44" s="239"/>
      <c r="AV44" s="239"/>
      <c r="AW44" s="239"/>
      <c r="AX44" s="239">
        <f>IF(Capaian1!AX42&lt;&gt;"",Capaian1!AX42,"")</f>
        <v>3.1280000000000001</v>
      </c>
      <c r="AY44" s="239">
        <f>IF(Capaian1!AY42&lt;&gt;"",Capaian1!AY42,"")</f>
        <v>3.28</v>
      </c>
      <c r="AZ44" s="239" t="str">
        <f>IF(Capaian1!AZ42&lt;&gt;"",Capaian1!AZ42,"")</f>
        <v>B</v>
      </c>
      <c r="BA44" s="239">
        <f>IF(Capaian1!BA42&lt;&gt;"",Capaian1!BA42,"")</f>
        <v>3.1519999999999997</v>
      </c>
      <c r="BB44" s="239">
        <f>IF(Capaian1!BB42&lt;&gt;"",Capaian1!BB42,"")</f>
        <v>3.1839999999999997</v>
      </c>
      <c r="BC44" s="239" t="str">
        <f>IF(Capaian1!BC42&lt;&gt;"",Capaian1!BC42,"")</f>
        <v>B</v>
      </c>
      <c r="BD44" s="239">
        <f>IF(Capaian1!BD42&lt;&gt;"",Capaian1!BD42,"")</f>
        <v>3.258</v>
      </c>
      <c r="BE44" s="239">
        <f>IF(Capaian1!BE42&lt;&gt;"",Capaian1!BE42,"")</f>
        <v>3.2639999999999998</v>
      </c>
      <c r="BF44" s="239" t="str">
        <f>IF(Capaian1!BF42&lt;&gt;"",Capaian1!BF42,"")</f>
        <v>B</v>
      </c>
      <c r="BG44" s="239">
        <f>IF(Capaian1!BG42&lt;&gt;"",Capaian1!BG42,"")</f>
        <v>3.0826666666666664</v>
      </c>
      <c r="BH44" s="239">
        <f>IF(Capaian1!BH42&lt;&gt;"",Capaian1!BH42,"")</f>
        <v>3.0666666666666664</v>
      </c>
      <c r="BI44" s="239" t="str">
        <f>IF(Capaian1!BI42&lt;&gt;"",Capaian1!BI42,"")</f>
        <v>B</v>
      </c>
      <c r="BJ44" s="239">
        <f>IF(Capaian1!BJ42&lt;&gt;"",Capaian1!BJ42,"")</f>
        <v>3</v>
      </c>
      <c r="BK44" s="239">
        <f>IF(Capaian1!BK42&lt;&gt;"",Capaian1!BK42,"")</f>
        <v>3.3</v>
      </c>
      <c r="BL44" s="239" t="str">
        <f>IF(Capaian1!BL42&lt;&gt;"",Capaian1!BL42,"")</f>
        <v>B</v>
      </c>
      <c r="BM44" s="239" t="str">
        <f>IF(Capaian1!BP42&lt;&gt;"",Capaian1!BP42,"")</f>
        <v/>
      </c>
      <c r="BN44" s="239" t="str">
        <f>IF(Capaian1!BQ42&lt;&gt;"",Capaian1!BQ42,"")</f>
        <v/>
      </c>
      <c r="BO44" s="239" t="str">
        <f>IF(Capaian1!BR42&lt;&gt;"",Capaian1!BR42,"")</f>
        <v/>
      </c>
      <c r="BP44" s="239" t="str">
        <f>IF(Capaian1!BS42&lt;&gt;"",Capaian1!BS42,"")</f>
        <v/>
      </c>
      <c r="BQ44" s="239" t="str">
        <f>IF(Capaian1!BT42&lt;&gt;"",Capaian1!BT42,"")</f>
        <v/>
      </c>
      <c r="BR44" s="239" t="str">
        <f>IF(Capaian1!BU42&lt;&gt;"",Capaian1!BU42,"")</f>
        <v/>
      </c>
      <c r="BS44" s="239" t="str">
        <f>IF(Capaian1!BV42&lt;&gt;"",Capaian1!BV42,"")</f>
        <v/>
      </c>
      <c r="BT44" s="239" t="str">
        <f>IF(Capaian1!BW42&lt;&gt;"",Capaian1!BW42,"")</f>
        <v/>
      </c>
      <c r="BU44" s="239" t="str">
        <f>IF(Capaian1!BX42&lt;&gt;"",Capaian1!BX42,"")</f>
        <v/>
      </c>
      <c r="BV44" s="239"/>
      <c r="BW44" s="239"/>
      <c r="BX44" s="239"/>
      <c r="BY44" s="239"/>
      <c r="BZ44" s="239"/>
      <c r="CA44" s="239"/>
      <c r="CB44" s="239"/>
      <c r="CC44" s="239"/>
      <c r="CD44" s="239"/>
      <c r="CE44" s="239"/>
      <c r="CF44" s="239"/>
      <c r="CG44" s="239"/>
      <c r="CH44" s="239"/>
      <c r="CI44" s="239"/>
      <c r="CJ44" s="239"/>
      <c r="CK44" s="255" t="str">
        <f>IF(Capaian1!CB42&lt;&gt;"",Capaian1!CB42,"")</f>
        <v/>
      </c>
      <c r="CL44" s="255" t="str">
        <f>IF(Capaian1!CC42&lt;&gt;"",Capaian1!CC42,"")</f>
        <v/>
      </c>
      <c r="CM44" s="255" t="str">
        <f>IF(Capaian1!CD42&lt;&gt;"",Capaian1!CD42,"")</f>
        <v/>
      </c>
      <c r="CN44" s="239"/>
      <c r="CO44" s="239"/>
      <c r="CP44" s="239"/>
      <c r="CQ44" s="255">
        <f>IF(Capaian1!CH42&lt;&gt;"",Capaian1!CH42,"")</f>
        <v>3.4933333333333336</v>
      </c>
      <c r="CR44" s="255">
        <f>IF(Capaian1!CI42&lt;&gt;"",Capaian1!CI42,"")</f>
        <v>3.5</v>
      </c>
      <c r="CS44" s="255" t="str">
        <f>IF(Capaian1!CJ42&lt;&gt;"",Capaian1!CJ42,"")</f>
        <v>B</v>
      </c>
      <c r="CT44" s="239" t="str">
        <f>IF(Capaian1!CK42&lt;&gt;"",Capaian1!CK42,"")</f>
        <v/>
      </c>
      <c r="CU44" s="239" t="str">
        <f>IF(Capaian1!CL42&lt;&gt;"",Capaian1!CL42,"")</f>
        <v/>
      </c>
      <c r="CV44" s="239" t="str">
        <f>IF(Capaian1!CM42&lt;&gt;"",Capaian1!CM42,"")</f>
        <v/>
      </c>
      <c r="CW44" s="239" t="str">
        <f>IF(Capaian1!CN42&lt;&gt;"",Capaian1!CN42,"")</f>
        <v>OSIS</v>
      </c>
      <c r="CX44" s="239" t="str">
        <f>IF(Capaian1!CO42&lt;&gt;"",Capaian1!CO42,"")</f>
        <v>B</v>
      </c>
      <c r="CY44" s="239" t="str">
        <f>IF(Capaian1!CP42&lt;&gt;"",Capaian1!CP42,"")</f>
        <v>--</v>
      </c>
      <c r="CZ44" s="239" t="str">
        <f>IF(Capaian1!CQ42&lt;&gt;"",Capaian1!CQ42,"")</f>
        <v/>
      </c>
      <c r="DA44" s="239">
        <f>IF(Capaian1!CR42&lt;&gt;"",Capaian1!CR42,"")</f>
        <v>2</v>
      </c>
      <c r="DB44" s="239">
        <f>IF(Capaian1!CS42&lt;&gt;"",Capaian1!CS42,"")</f>
        <v>1</v>
      </c>
      <c r="DC44" s="239">
        <f>IF(Capaian1!CT42&lt;&gt;"",Capaian1!CT42,"")</f>
        <v>0</v>
      </c>
    </row>
    <row r="45" spans="2:107" s="234" customFormat="1" x14ac:dyDescent="0.25">
      <c r="B45" s="238">
        <v>39</v>
      </c>
      <c r="C45" s="238">
        <f>Peserta_Didik!D41</f>
        <v>0</v>
      </c>
      <c r="D45" s="238">
        <f>Peserta_Didik!C41</f>
        <v>0</v>
      </c>
      <c r="E45" s="239" t="str">
        <f>IF(Capaian1!E43&lt;&gt;"",Capaian1!E43,"")</f>
        <v/>
      </c>
      <c r="F45" s="239" t="str">
        <f>IF(Capaian1!F43&lt;&gt;"",Capaian1!F43,"")</f>
        <v/>
      </c>
      <c r="G45" s="239" t="str">
        <f>IF(Capaian1!G43&lt;&gt;"",Capaian1!G43,"")</f>
        <v/>
      </c>
      <c r="H45" s="239" t="str">
        <f>IF(Capaian1!H43&lt;&gt;"",Capaian1!H43,"")</f>
        <v/>
      </c>
      <c r="I45" s="239" t="str">
        <f>IF(Capaian1!I43&lt;&gt;"",Capaian1!I43,"")</f>
        <v/>
      </c>
      <c r="J45" s="239" t="str">
        <f>IF(Capaian1!J43&lt;&gt;"",Capaian1!J43,"")</f>
        <v/>
      </c>
      <c r="K45" s="239" t="str">
        <f>IF(Capaian1!K43&lt;&gt;"",Capaian1!K43,"")</f>
        <v/>
      </c>
      <c r="L45" s="239" t="str">
        <f>IF(Capaian1!L43&lt;&gt;"",Capaian1!L43,"")</f>
        <v/>
      </c>
      <c r="M45" s="239" t="str">
        <f>IF(Capaian1!M43&lt;&gt;"",Capaian1!M43,"")</f>
        <v/>
      </c>
      <c r="N45" s="239" t="str">
        <f>IF(Capaian1!N43&lt;&gt;"",Capaian1!N43,"")</f>
        <v/>
      </c>
      <c r="O45" s="239" t="str">
        <f>IF(Capaian1!O43&lt;&gt;"",Capaian1!O43,"")</f>
        <v/>
      </c>
      <c r="P45" s="239" t="str">
        <f>IF(Capaian1!P43&lt;&gt;"",Capaian1!P43,"")</f>
        <v/>
      </c>
      <c r="Q45" s="239" t="str">
        <f>IF(Capaian1!Q43&lt;&gt;"",Capaian1!Q43,"")</f>
        <v/>
      </c>
      <c r="R45" s="239" t="str">
        <f>IF(Capaian1!R43&lt;&gt;"",Capaian1!R43,"")</f>
        <v/>
      </c>
      <c r="S45" s="239" t="str">
        <f>IF(Capaian1!S43&lt;&gt;"",Capaian1!S43,"")</f>
        <v/>
      </c>
      <c r="T45" s="239" t="str">
        <f>IF(Capaian1!T43&lt;&gt;"",Capaian1!T43,"")</f>
        <v/>
      </c>
      <c r="U45" s="239" t="str">
        <f>IF(Capaian1!U43&lt;&gt;"",Capaian1!U43,"")</f>
        <v/>
      </c>
      <c r="V45" s="239" t="str">
        <f>IF(Capaian1!V43&lt;&gt;"",Capaian1!V43,"")</f>
        <v/>
      </c>
      <c r="W45" s="239" t="str">
        <f>IF(Capaian1!W43&lt;&gt;"",Capaian1!W43,"")</f>
        <v/>
      </c>
      <c r="X45" s="239" t="str">
        <f>IF(Capaian1!X43&lt;&gt;"",Capaian1!X43,"")</f>
        <v/>
      </c>
      <c r="Y45" s="239" t="str">
        <f>IF(Capaian1!Y43&lt;&gt;"",Capaian1!Y43,"")</f>
        <v/>
      </c>
      <c r="Z45" s="239" t="str">
        <f>IF(Capaian1!Z43&lt;&gt;"",Capaian1!Z43,"")</f>
        <v/>
      </c>
      <c r="AA45" s="239" t="str">
        <f>IF(Capaian1!AA43&lt;&gt;"",Capaian1!AA43,"")</f>
        <v/>
      </c>
      <c r="AB45" s="239" t="str">
        <f>IF(Capaian1!AB43&lt;&gt;"",Capaian1!AB43,"")</f>
        <v/>
      </c>
      <c r="AC45" s="239" t="str">
        <f>IF(Capaian1!AC43&lt;&gt;"",Capaian1!AC43,"")</f>
        <v/>
      </c>
      <c r="AD45" s="239" t="str">
        <f>IF(Capaian1!AD43&lt;&gt;"",Capaian1!AD43,"")</f>
        <v/>
      </c>
      <c r="AE45" s="239" t="str">
        <f>IF(Capaian1!AE43&lt;&gt;"",Capaian1!AE43,"")</f>
        <v/>
      </c>
      <c r="AF45" s="239" t="str">
        <f>IF(Capaian1!AF43&lt;&gt;"",Capaian1!AF43,"")</f>
        <v/>
      </c>
      <c r="AG45" s="239" t="str">
        <f>IF(Capaian1!AG43&lt;&gt;"",Capaian1!AG43,"")</f>
        <v/>
      </c>
      <c r="AH45" s="239" t="str">
        <f>IF(Capaian1!AH43&lt;&gt;"",Capaian1!AH43,"")</f>
        <v/>
      </c>
      <c r="AI45" s="239" t="str">
        <f>IF(Capaian1!AI43&lt;&gt;"",Capaian1!AI43,"")</f>
        <v/>
      </c>
      <c r="AJ45" s="239" t="str">
        <f>IF(Capaian1!AJ43&lt;&gt;"",Capaian1!AJ43,"")</f>
        <v/>
      </c>
      <c r="AK45" s="239" t="str">
        <f>IF(Capaian1!AK43&lt;&gt;"",Capaian1!AK43,"")</f>
        <v/>
      </c>
      <c r="AL45" s="239"/>
      <c r="AM45" s="239"/>
      <c r="AN45" s="239"/>
      <c r="AO45" s="239"/>
      <c r="AP45" s="239"/>
      <c r="AQ45" s="239"/>
      <c r="AR45" s="239" t="str">
        <f>IF(Capaian1!AL43&lt;&gt;"",Capaian1!AL43,"")</f>
        <v/>
      </c>
      <c r="AS45" s="239" t="str">
        <f>IF(Capaian1!AM43&lt;&gt;"",Capaian1!AM43,"")</f>
        <v/>
      </c>
      <c r="AT45" s="239" t="str">
        <f>IF(Capaian1!AN43&lt;&gt;"",Capaian1!AN43,"")</f>
        <v/>
      </c>
      <c r="AU45" s="239"/>
      <c r="AV45" s="239"/>
      <c r="AW45" s="239"/>
      <c r="AX45" s="239" t="str">
        <f>IF(Capaian1!AX43&lt;&gt;"",Capaian1!AX43,"")</f>
        <v/>
      </c>
      <c r="AY45" s="239" t="str">
        <f>IF(Capaian1!AY43&lt;&gt;"",Capaian1!AY43,"")</f>
        <v/>
      </c>
      <c r="AZ45" s="239" t="str">
        <f>IF(Capaian1!AZ43&lt;&gt;"",Capaian1!AZ43,"")</f>
        <v/>
      </c>
      <c r="BA45" s="239" t="str">
        <f>IF(Capaian1!BA43&lt;&gt;"",Capaian1!BA43,"")</f>
        <v/>
      </c>
      <c r="BB45" s="239" t="str">
        <f>IF(Capaian1!BB43&lt;&gt;"",Capaian1!BB43,"")</f>
        <v/>
      </c>
      <c r="BC45" s="239" t="str">
        <f>IF(Capaian1!BC43&lt;&gt;"",Capaian1!BC43,"")</f>
        <v/>
      </c>
      <c r="BD45" s="239" t="str">
        <f>IF(Capaian1!BD43&lt;&gt;"",Capaian1!BD43,"")</f>
        <v/>
      </c>
      <c r="BE45" s="239" t="str">
        <f>IF(Capaian1!BE43&lt;&gt;"",Capaian1!BE43,"")</f>
        <v/>
      </c>
      <c r="BF45" s="239" t="str">
        <f>IF(Capaian1!BF43&lt;&gt;"",Capaian1!BF43,"")</f>
        <v/>
      </c>
      <c r="BG45" s="239" t="str">
        <f>IF(Capaian1!BG43&lt;&gt;"",Capaian1!BG43,"")</f>
        <v/>
      </c>
      <c r="BH45" s="239" t="str">
        <f>IF(Capaian1!BH43&lt;&gt;"",Capaian1!BH43,"")</f>
        <v/>
      </c>
      <c r="BI45" s="239" t="str">
        <f>IF(Capaian1!BI43&lt;&gt;"",Capaian1!BI43,"")</f>
        <v/>
      </c>
      <c r="BJ45" s="239" t="str">
        <f>IF(Capaian1!BJ43&lt;&gt;"",Capaian1!BJ43,"")</f>
        <v/>
      </c>
      <c r="BK45" s="239" t="str">
        <f>IF(Capaian1!BK43&lt;&gt;"",Capaian1!BK43,"")</f>
        <v/>
      </c>
      <c r="BL45" s="239" t="str">
        <f>IF(Capaian1!BL43&lt;&gt;"",Capaian1!BL43,"")</f>
        <v/>
      </c>
      <c r="BM45" s="239" t="str">
        <f>IF(Capaian1!BP43&lt;&gt;"",Capaian1!BP43,"")</f>
        <v/>
      </c>
      <c r="BN45" s="239" t="str">
        <f>IF(Capaian1!BQ43&lt;&gt;"",Capaian1!BQ43,"")</f>
        <v/>
      </c>
      <c r="BO45" s="239" t="str">
        <f>IF(Capaian1!BR43&lt;&gt;"",Capaian1!BR43,"")</f>
        <v/>
      </c>
      <c r="BP45" s="239" t="str">
        <f>IF(Capaian1!BS43&lt;&gt;"",Capaian1!BS43,"")</f>
        <v/>
      </c>
      <c r="BQ45" s="239" t="str">
        <f>IF(Capaian1!BT43&lt;&gt;"",Capaian1!BT43,"")</f>
        <v/>
      </c>
      <c r="BR45" s="239" t="str">
        <f>IF(Capaian1!BU43&lt;&gt;"",Capaian1!BU43,"")</f>
        <v/>
      </c>
      <c r="BS45" s="239" t="str">
        <f>IF(Capaian1!BV43&lt;&gt;"",Capaian1!BV43,"")</f>
        <v/>
      </c>
      <c r="BT45" s="239" t="str">
        <f>IF(Capaian1!BW43&lt;&gt;"",Capaian1!BW43,"")</f>
        <v/>
      </c>
      <c r="BU45" s="239" t="str">
        <f>IF(Capaian1!BX43&lt;&gt;"",Capaian1!BX43,"")</f>
        <v/>
      </c>
      <c r="BV45" s="239"/>
      <c r="BW45" s="239"/>
      <c r="BX45" s="239"/>
      <c r="BY45" s="239"/>
      <c r="BZ45" s="239"/>
      <c r="CA45" s="239"/>
      <c r="CB45" s="239"/>
      <c r="CC45" s="239"/>
      <c r="CD45" s="239"/>
      <c r="CE45" s="239"/>
      <c r="CF45" s="239"/>
      <c r="CG45" s="239"/>
      <c r="CH45" s="239"/>
      <c r="CI45" s="239"/>
      <c r="CJ45" s="239"/>
      <c r="CK45" s="255" t="str">
        <f>IF(Capaian1!CB43&lt;&gt;"",Capaian1!CB43,"")</f>
        <v/>
      </c>
      <c r="CL45" s="255" t="str">
        <f>IF(Capaian1!CC43&lt;&gt;"",Capaian1!CC43,"")</f>
        <v/>
      </c>
      <c r="CM45" s="255" t="str">
        <f>IF(Capaian1!CD43&lt;&gt;"",Capaian1!CD43,"")</f>
        <v/>
      </c>
      <c r="CN45" s="239"/>
      <c r="CO45" s="239"/>
      <c r="CP45" s="239"/>
      <c r="CQ45" s="255" t="str">
        <f>IF(Capaian1!CH43&lt;&gt;"",Capaian1!CH43,"")</f>
        <v/>
      </c>
      <c r="CR45" s="255" t="str">
        <f>IF(Capaian1!CI43&lt;&gt;"",Capaian1!CI43,"")</f>
        <v/>
      </c>
      <c r="CS45" s="255" t="str">
        <f>IF(Capaian1!CJ43&lt;&gt;"",Capaian1!CJ43,"")</f>
        <v/>
      </c>
      <c r="CT45" s="239" t="str">
        <f>IF(Capaian1!CK43&lt;&gt;"",Capaian1!CK43,"")</f>
        <v/>
      </c>
      <c r="CU45" s="239" t="str">
        <f>IF(Capaian1!CL43&lt;&gt;"",Capaian1!CL43,"")</f>
        <v/>
      </c>
      <c r="CV45" s="239" t="str">
        <f>IF(Capaian1!CM43&lt;&gt;"",Capaian1!CM43,"")</f>
        <v/>
      </c>
      <c r="CW45" s="239" t="str">
        <f>IF(Capaian1!CN43&lt;&gt;"",Capaian1!CN43,"")</f>
        <v>--</v>
      </c>
      <c r="CX45" s="239" t="str">
        <f>IF(Capaian1!CO43&lt;&gt;"",Capaian1!CO43,"")</f>
        <v/>
      </c>
      <c r="CY45" s="239" t="str">
        <f>IF(Capaian1!CP43&lt;&gt;"",Capaian1!CP43,"")</f>
        <v>--</v>
      </c>
      <c r="CZ45" s="239" t="str">
        <f>IF(Capaian1!CQ43&lt;&gt;"",Capaian1!CQ43,"")</f>
        <v/>
      </c>
      <c r="DA45" s="239" t="str">
        <f>IF(Capaian1!CR43&lt;&gt;"",Capaian1!CR43,"")</f>
        <v/>
      </c>
      <c r="DB45" s="239" t="str">
        <f>IF(Capaian1!CS43&lt;&gt;"",Capaian1!CS43,"")</f>
        <v/>
      </c>
      <c r="DC45" s="239" t="str">
        <f>IF(Capaian1!CT43&lt;&gt;"",Capaian1!CT43,"")</f>
        <v/>
      </c>
    </row>
    <row r="46" spans="2:107" s="234" customFormat="1" x14ac:dyDescent="0.25">
      <c r="B46" s="238">
        <v>40</v>
      </c>
      <c r="C46" s="238">
        <f>Peserta_Didik!D42</f>
        <v>0</v>
      </c>
      <c r="D46" s="238">
        <f>Peserta_Didik!C42</f>
        <v>0</v>
      </c>
      <c r="E46" s="239" t="str">
        <f>IF(Capaian1!E44&lt;&gt;"",Capaian1!E44,"")</f>
        <v/>
      </c>
      <c r="F46" s="239" t="str">
        <f>IF(Capaian1!F44&lt;&gt;"",Capaian1!F44,"")</f>
        <v/>
      </c>
      <c r="G46" s="239" t="str">
        <f>IF(Capaian1!G44&lt;&gt;"",Capaian1!G44,"")</f>
        <v/>
      </c>
      <c r="H46" s="239" t="str">
        <f>IF(Capaian1!H44&lt;&gt;"",Capaian1!H44,"")</f>
        <v/>
      </c>
      <c r="I46" s="239" t="str">
        <f>IF(Capaian1!I44&lt;&gt;"",Capaian1!I44,"")</f>
        <v/>
      </c>
      <c r="J46" s="239" t="str">
        <f>IF(Capaian1!J44&lt;&gt;"",Capaian1!J44,"")</f>
        <v/>
      </c>
      <c r="K46" s="239" t="str">
        <f>IF(Capaian1!K44&lt;&gt;"",Capaian1!K44,"")</f>
        <v/>
      </c>
      <c r="L46" s="239" t="str">
        <f>IF(Capaian1!L44&lt;&gt;"",Capaian1!L44,"")</f>
        <v/>
      </c>
      <c r="M46" s="239" t="str">
        <f>IF(Capaian1!M44&lt;&gt;"",Capaian1!M44,"")</f>
        <v/>
      </c>
      <c r="N46" s="239" t="str">
        <f>IF(Capaian1!N44&lt;&gt;"",Capaian1!N44,"")</f>
        <v/>
      </c>
      <c r="O46" s="239" t="str">
        <f>IF(Capaian1!O44&lt;&gt;"",Capaian1!O44,"")</f>
        <v/>
      </c>
      <c r="P46" s="239" t="str">
        <f>IF(Capaian1!P44&lt;&gt;"",Capaian1!P44,"")</f>
        <v/>
      </c>
      <c r="Q46" s="239" t="str">
        <f>IF(Capaian1!Q44&lt;&gt;"",Capaian1!Q44,"")</f>
        <v/>
      </c>
      <c r="R46" s="239" t="str">
        <f>IF(Capaian1!R44&lt;&gt;"",Capaian1!R44,"")</f>
        <v/>
      </c>
      <c r="S46" s="239" t="str">
        <f>IF(Capaian1!S44&lt;&gt;"",Capaian1!S44,"")</f>
        <v/>
      </c>
      <c r="T46" s="239" t="str">
        <f>IF(Capaian1!T44&lt;&gt;"",Capaian1!T44,"")</f>
        <v/>
      </c>
      <c r="U46" s="239" t="str">
        <f>IF(Capaian1!U44&lt;&gt;"",Capaian1!U44,"")</f>
        <v/>
      </c>
      <c r="V46" s="239" t="str">
        <f>IF(Capaian1!V44&lt;&gt;"",Capaian1!V44,"")</f>
        <v/>
      </c>
      <c r="W46" s="239" t="str">
        <f>IF(Capaian1!W44&lt;&gt;"",Capaian1!W44,"")</f>
        <v/>
      </c>
      <c r="X46" s="239" t="str">
        <f>IF(Capaian1!X44&lt;&gt;"",Capaian1!X44,"")</f>
        <v/>
      </c>
      <c r="Y46" s="239" t="str">
        <f>IF(Capaian1!Y44&lt;&gt;"",Capaian1!Y44,"")</f>
        <v/>
      </c>
      <c r="Z46" s="239" t="str">
        <f>IF(Capaian1!Z44&lt;&gt;"",Capaian1!Z44,"")</f>
        <v/>
      </c>
      <c r="AA46" s="239" t="str">
        <f>IF(Capaian1!AA44&lt;&gt;"",Capaian1!AA44,"")</f>
        <v/>
      </c>
      <c r="AB46" s="239" t="str">
        <f>IF(Capaian1!AB44&lt;&gt;"",Capaian1!AB44,"")</f>
        <v/>
      </c>
      <c r="AC46" s="239" t="str">
        <f>IF(Capaian1!AC44&lt;&gt;"",Capaian1!AC44,"")</f>
        <v/>
      </c>
      <c r="AD46" s="239" t="str">
        <f>IF(Capaian1!AD44&lt;&gt;"",Capaian1!AD44,"")</f>
        <v/>
      </c>
      <c r="AE46" s="239" t="str">
        <f>IF(Capaian1!AE44&lt;&gt;"",Capaian1!AE44,"")</f>
        <v/>
      </c>
      <c r="AF46" s="239" t="str">
        <f>IF(Capaian1!AF44&lt;&gt;"",Capaian1!AF44,"")</f>
        <v/>
      </c>
      <c r="AG46" s="239" t="str">
        <f>IF(Capaian1!AG44&lt;&gt;"",Capaian1!AG44,"")</f>
        <v/>
      </c>
      <c r="AH46" s="239" t="str">
        <f>IF(Capaian1!AH44&lt;&gt;"",Capaian1!AH44,"")</f>
        <v/>
      </c>
      <c r="AI46" s="239" t="str">
        <f>IF(Capaian1!AI44&lt;&gt;"",Capaian1!AI44,"")</f>
        <v/>
      </c>
      <c r="AJ46" s="239" t="str">
        <f>IF(Capaian1!AJ44&lt;&gt;"",Capaian1!AJ44,"")</f>
        <v/>
      </c>
      <c r="AK46" s="239" t="str">
        <f>IF(Capaian1!AK44&lt;&gt;"",Capaian1!AK44,"")</f>
        <v/>
      </c>
      <c r="AL46" s="239"/>
      <c r="AM46" s="239"/>
      <c r="AN46" s="239"/>
      <c r="AO46" s="239"/>
      <c r="AP46" s="239"/>
      <c r="AQ46" s="239"/>
      <c r="AR46" s="239" t="str">
        <f>IF(Capaian1!AL44&lt;&gt;"",Capaian1!AL44,"")</f>
        <v/>
      </c>
      <c r="AS46" s="239" t="str">
        <f>IF(Capaian1!AM44&lt;&gt;"",Capaian1!AM44,"")</f>
        <v/>
      </c>
      <c r="AT46" s="239" t="str">
        <f>IF(Capaian1!AN44&lt;&gt;"",Capaian1!AN44,"")</f>
        <v/>
      </c>
      <c r="AU46" s="239"/>
      <c r="AV46" s="239"/>
      <c r="AW46" s="239"/>
      <c r="AX46" s="239" t="str">
        <f>IF(Capaian1!AX44&lt;&gt;"",Capaian1!AX44,"")</f>
        <v/>
      </c>
      <c r="AY46" s="239" t="str">
        <f>IF(Capaian1!AY44&lt;&gt;"",Capaian1!AY44,"")</f>
        <v/>
      </c>
      <c r="AZ46" s="239" t="str">
        <f>IF(Capaian1!AZ44&lt;&gt;"",Capaian1!AZ44,"")</f>
        <v/>
      </c>
      <c r="BA46" s="239" t="str">
        <f>IF(Capaian1!BA44&lt;&gt;"",Capaian1!BA44,"")</f>
        <v/>
      </c>
      <c r="BB46" s="239" t="str">
        <f>IF(Capaian1!BB44&lt;&gt;"",Capaian1!BB44,"")</f>
        <v/>
      </c>
      <c r="BC46" s="239" t="str">
        <f>IF(Capaian1!BC44&lt;&gt;"",Capaian1!BC44,"")</f>
        <v/>
      </c>
      <c r="BD46" s="239" t="str">
        <f>IF(Capaian1!BD44&lt;&gt;"",Capaian1!BD44,"")</f>
        <v/>
      </c>
      <c r="BE46" s="239" t="str">
        <f>IF(Capaian1!BE44&lt;&gt;"",Capaian1!BE44,"")</f>
        <v/>
      </c>
      <c r="BF46" s="239" t="str">
        <f>IF(Capaian1!BF44&lt;&gt;"",Capaian1!BF44,"")</f>
        <v/>
      </c>
      <c r="BG46" s="239" t="str">
        <f>IF(Capaian1!BG44&lt;&gt;"",Capaian1!BG44,"")</f>
        <v/>
      </c>
      <c r="BH46" s="239" t="str">
        <f>IF(Capaian1!BH44&lt;&gt;"",Capaian1!BH44,"")</f>
        <v/>
      </c>
      <c r="BI46" s="239" t="str">
        <f>IF(Capaian1!BI44&lt;&gt;"",Capaian1!BI44,"")</f>
        <v/>
      </c>
      <c r="BJ46" s="239" t="str">
        <f>IF(Capaian1!BJ44&lt;&gt;"",Capaian1!BJ44,"")</f>
        <v/>
      </c>
      <c r="BK46" s="239" t="str">
        <f>IF(Capaian1!BK44&lt;&gt;"",Capaian1!BK44,"")</f>
        <v/>
      </c>
      <c r="BL46" s="239" t="str">
        <f>IF(Capaian1!BL44&lt;&gt;"",Capaian1!BL44,"")</f>
        <v/>
      </c>
      <c r="BM46" s="239" t="str">
        <f>IF(Capaian1!BP44&lt;&gt;"",Capaian1!BP44,"")</f>
        <v/>
      </c>
      <c r="BN46" s="239" t="str">
        <f>IF(Capaian1!BQ44&lt;&gt;"",Capaian1!BQ44,"")</f>
        <v/>
      </c>
      <c r="BO46" s="239" t="str">
        <f>IF(Capaian1!BR44&lt;&gt;"",Capaian1!BR44,"")</f>
        <v/>
      </c>
      <c r="BP46" s="239" t="str">
        <f>IF(Capaian1!BS44&lt;&gt;"",Capaian1!BS44,"")</f>
        <v/>
      </c>
      <c r="BQ46" s="239" t="str">
        <f>IF(Capaian1!BT44&lt;&gt;"",Capaian1!BT44,"")</f>
        <v/>
      </c>
      <c r="BR46" s="239" t="str">
        <f>IF(Capaian1!BU44&lt;&gt;"",Capaian1!BU44,"")</f>
        <v/>
      </c>
      <c r="BS46" s="239" t="str">
        <f>IF(Capaian1!BV44&lt;&gt;"",Capaian1!BV44,"")</f>
        <v/>
      </c>
      <c r="BT46" s="239" t="str">
        <f>IF(Capaian1!BW44&lt;&gt;"",Capaian1!BW44,"")</f>
        <v/>
      </c>
      <c r="BU46" s="239" t="str">
        <f>IF(Capaian1!BX44&lt;&gt;"",Capaian1!BX44,"")</f>
        <v/>
      </c>
      <c r="BV46" s="239"/>
      <c r="BW46" s="239"/>
      <c r="BX46" s="239"/>
      <c r="BY46" s="239"/>
      <c r="BZ46" s="239"/>
      <c r="CA46" s="239"/>
      <c r="CB46" s="239"/>
      <c r="CC46" s="239"/>
      <c r="CD46" s="239"/>
      <c r="CE46" s="239"/>
      <c r="CF46" s="239"/>
      <c r="CG46" s="239"/>
      <c r="CH46" s="239"/>
      <c r="CI46" s="239"/>
      <c r="CJ46" s="239"/>
      <c r="CK46" s="255" t="str">
        <f>IF(Capaian1!CB44&lt;&gt;"",Capaian1!CB44,"")</f>
        <v/>
      </c>
      <c r="CL46" s="255" t="str">
        <f>IF(Capaian1!CC44&lt;&gt;"",Capaian1!CC44,"")</f>
        <v/>
      </c>
      <c r="CM46" s="255" t="str">
        <f>IF(Capaian1!CD44&lt;&gt;"",Capaian1!CD44,"")</f>
        <v/>
      </c>
      <c r="CN46" s="239"/>
      <c r="CO46" s="239"/>
      <c r="CP46" s="239"/>
      <c r="CQ46" s="255" t="str">
        <f>IF(Capaian1!CH44&lt;&gt;"",Capaian1!CH44,"")</f>
        <v/>
      </c>
      <c r="CR46" s="255" t="str">
        <f>IF(Capaian1!CI44&lt;&gt;"",Capaian1!CI44,"")</f>
        <v/>
      </c>
      <c r="CS46" s="255" t="str">
        <f>IF(Capaian1!CJ44&lt;&gt;"",Capaian1!CJ44,"")</f>
        <v/>
      </c>
      <c r="CT46" s="239" t="str">
        <f>IF(Capaian1!CK44&lt;&gt;"",Capaian1!CK44,"")</f>
        <v/>
      </c>
      <c r="CU46" s="239" t="str">
        <f>IF(Capaian1!CL44&lt;&gt;"",Capaian1!CL44,"")</f>
        <v/>
      </c>
      <c r="CV46" s="239" t="str">
        <f>IF(Capaian1!CM44&lt;&gt;"",Capaian1!CM44,"")</f>
        <v/>
      </c>
      <c r="CW46" s="239" t="str">
        <f>IF(Capaian1!CN44&lt;&gt;"",Capaian1!CN44,"")</f>
        <v>--</v>
      </c>
      <c r="CX46" s="239" t="str">
        <f>IF(Capaian1!CO44&lt;&gt;"",Capaian1!CO44,"")</f>
        <v/>
      </c>
      <c r="CY46" s="239" t="str">
        <f>IF(Capaian1!CP44&lt;&gt;"",Capaian1!CP44,"")</f>
        <v>--</v>
      </c>
      <c r="CZ46" s="239" t="str">
        <f>IF(Capaian1!CQ44&lt;&gt;"",Capaian1!CQ44,"")</f>
        <v/>
      </c>
      <c r="DA46" s="239" t="str">
        <f>IF(Capaian1!CR44&lt;&gt;"",Capaian1!CR44,"")</f>
        <v/>
      </c>
      <c r="DB46" s="239" t="str">
        <f>IF(Capaian1!CS44&lt;&gt;"",Capaian1!CS44,"")</f>
        <v/>
      </c>
      <c r="DC46" s="239" t="str">
        <f>IF(Capaian1!CT44&lt;&gt;"",Capaian1!CT44,"")</f>
        <v/>
      </c>
    </row>
    <row r="47" spans="2:107" s="135" customFormat="1" x14ac:dyDescent="0.25">
      <c r="D47" s="174">
        <f>COUNT(D7:D46)</f>
        <v>2</v>
      </c>
      <c r="E47" s="240"/>
      <c r="F47" s="240"/>
      <c r="G47" s="240"/>
      <c r="H47" s="240"/>
      <c r="I47" s="240"/>
      <c r="J47" s="240"/>
      <c r="K47" s="240"/>
      <c r="L47" s="240"/>
      <c r="M47" s="240"/>
      <c r="N47" s="240"/>
      <c r="O47" s="240"/>
      <c r="P47" s="240"/>
      <c r="Q47" s="240"/>
      <c r="R47" s="240"/>
      <c r="S47" s="240"/>
      <c r="T47" s="240"/>
      <c r="U47" s="240"/>
      <c r="V47" s="240"/>
      <c r="W47" s="240"/>
      <c r="X47" s="240"/>
      <c r="Y47" s="240"/>
      <c r="Z47" s="240"/>
      <c r="AA47" s="240"/>
      <c r="AB47" s="240"/>
      <c r="AC47" s="240"/>
      <c r="AD47" s="240"/>
      <c r="AE47" s="240"/>
      <c r="AF47" s="240"/>
      <c r="AG47" s="240"/>
      <c r="AH47" s="240"/>
      <c r="AI47" s="240"/>
      <c r="AJ47" s="240"/>
      <c r="AK47" s="240"/>
      <c r="AL47" s="240"/>
      <c r="AM47" s="240"/>
      <c r="AN47" s="240"/>
      <c r="AO47" s="240"/>
      <c r="AP47" s="240"/>
      <c r="AQ47" s="240"/>
      <c r="AR47" s="240"/>
      <c r="AS47" s="240"/>
      <c r="AT47" s="240"/>
      <c r="AU47" s="240"/>
      <c r="AV47" s="240"/>
      <c r="AW47" s="240"/>
      <c r="AX47" s="240"/>
      <c r="AY47" s="240"/>
      <c r="AZ47" s="240"/>
      <c r="BA47" s="240"/>
      <c r="BB47" s="240"/>
      <c r="BC47" s="240"/>
      <c r="BD47" s="240"/>
      <c r="BE47" s="240"/>
      <c r="BF47" s="240"/>
      <c r="BG47" s="240"/>
      <c r="BH47" s="240"/>
      <c r="BI47" s="240"/>
      <c r="BJ47" s="240"/>
      <c r="BK47" s="240"/>
      <c r="BL47" s="240"/>
      <c r="BM47" s="240"/>
      <c r="BN47" s="240"/>
      <c r="BO47" s="240"/>
      <c r="BP47" s="240"/>
      <c r="BQ47" s="240"/>
      <c r="BR47" s="240"/>
      <c r="BS47" s="240"/>
      <c r="BT47" s="240"/>
      <c r="BU47" s="240"/>
      <c r="BV47" s="240"/>
      <c r="BW47" s="240"/>
      <c r="BX47" s="240"/>
      <c r="BY47" s="240"/>
      <c r="BZ47" s="240"/>
      <c r="CA47" s="240"/>
      <c r="CB47" s="240"/>
      <c r="CC47" s="240"/>
      <c r="CD47" s="240"/>
      <c r="CE47" s="240"/>
      <c r="CF47" s="240"/>
      <c r="CG47" s="240"/>
      <c r="CH47" s="240"/>
      <c r="CI47" s="240"/>
      <c r="CJ47" s="240"/>
      <c r="CK47" s="240"/>
      <c r="CL47" s="240"/>
      <c r="CM47" s="240"/>
      <c r="CN47" s="240"/>
      <c r="CO47" s="240"/>
      <c r="CP47" s="240"/>
      <c r="CQ47" s="240"/>
      <c r="CR47" s="240"/>
      <c r="CS47" s="240"/>
      <c r="CT47" s="240"/>
      <c r="CU47" s="240"/>
      <c r="CV47" s="240"/>
      <c r="CW47" s="241"/>
      <c r="CX47" s="241"/>
      <c r="CY47" s="241"/>
      <c r="CZ47" s="241"/>
    </row>
    <row r="48" spans="2:107" x14ac:dyDescent="0.25">
      <c r="Q48" s="229" t="str">
        <f>Informasi_Rapot!C29</f>
        <v>Baleendah, 20 Juni 2015</v>
      </c>
    </row>
    <row r="49" spans="5:104" x14ac:dyDescent="0.25">
      <c r="E49" s="229" t="s">
        <v>249</v>
      </c>
      <c r="F49" s="200"/>
      <c r="G49" s="200"/>
      <c r="H49" s="200"/>
      <c r="I49" s="200"/>
      <c r="J49" s="200"/>
      <c r="K49" s="200"/>
      <c r="Q49" s="229" t="s">
        <v>173</v>
      </c>
    </row>
    <row r="50" spans="5:104" x14ac:dyDescent="0.25">
      <c r="E50" s="229"/>
      <c r="F50" s="200"/>
      <c r="G50" s="200"/>
      <c r="H50" s="200"/>
      <c r="I50" s="200"/>
      <c r="J50" s="200"/>
      <c r="K50" s="200"/>
      <c r="Q50" s="200"/>
    </row>
    <row r="51" spans="5:104" x14ac:dyDescent="0.25">
      <c r="E51" s="229"/>
      <c r="F51" s="200"/>
      <c r="G51" s="200"/>
      <c r="H51" s="200"/>
      <c r="I51" s="200"/>
      <c r="J51" s="200"/>
      <c r="K51" s="200"/>
      <c r="Q51" s="200"/>
    </row>
    <row r="52" spans="5:104" s="230" customFormat="1" x14ac:dyDescent="0.25">
      <c r="E52" s="231" t="str">
        <f>Informasi_Rapot!C20</f>
        <v>Drs. H. Carma Rahmat, M.Pd</v>
      </c>
      <c r="F52" s="232"/>
      <c r="G52" s="232"/>
      <c r="H52" s="232"/>
      <c r="I52" s="232"/>
      <c r="J52" s="232"/>
      <c r="K52" s="232"/>
      <c r="L52" s="233"/>
      <c r="M52" s="233"/>
      <c r="N52" s="233"/>
      <c r="O52" s="233"/>
      <c r="P52" s="233"/>
      <c r="Q52" s="231" t="str">
        <f>Informasi_Rapot!C22</f>
        <v>Iis Tarliah, S.Pd</v>
      </c>
      <c r="R52" s="233"/>
      <c r="S52" s="233"/>
      <c r="T52" s="233"/>
      <c r="U52" s="233"/>
      <c r="V52" s="233"/>
      <c r="W52" s="233"/>
      <c r="X52" s="233"/>
      <c r="Y52" s="233"/>
      <c r="Z52" s="233"/>
      <c r="AA52" s="233"/>
      <c r="AB52" s="233"/>
      <c r="AC52" s="233"/>
      <c r="AD52" s="233"/>
      <c r="AE52" s="233"/>
      <c r="AF52" s="233"/>
      <c r="AG52" s="233"/>
      <c r="AH52" s="233"/>
      <c r="AI52" s="233"/>
      <c r="AJ52" s="233"/>
      <c r="AK52" s="233"/>
      <c r="AL52" s="233"/>
      <c r="AM52" s="233"/>
      <c r="AN52" s="233"/>
      <c r="AO52" s="233"/>
      <c r="AP52" s="233"/>
      <c r="AQ52" s="233"/>
      <c r="AR52" s="233"/>
      <c r="AS52" s="233"/>
      <c r="AT52" s="233"/>
      <c r="AU52" s="233"/>
      <c r="AV52" s="233"/>
      <c r="AW52" s="233"/>
      <c r="AX52" s="233"/>
      <c r="AY52" s="233"/>
      <c r="AZ52" s="233"/>
      <c r="BA52" s="233"/>
      <c r="BB52" s="233"/>
      <c r="BC52" s="233"/>
      <c r="BD52" s="233"/>
      <c r="BE52" s="233"/>
      <c r="BF52" s="233"/>
      <c r="BG52" s="233"/>
      <c r="BH52" s="233"/>
      <c r="BI52" s="233"/>
      <c r="BJ52" s="233"/>
      <c r="BK52" s="233"/>
      <c r="BL52" s="233"/>
      <c r="BM52" s="233"/>
      <c r="BN52" s="233"/>
      <c r="BO52" s="233"/>
      <c r="BP52" s="233"/>
      <c r="BQ52" s="233"/>
      <c r="BR52" s="233"/>
      <c r="BS52" s="233"/>
      <c r="BT52" s="233"/>
      <c r="BU52" s="233"/>
      <c r="BV52" s="233"/>
      <c r="BW52" s="233"/>
      <c r="BX52" s="233"/>
      <c r="BY52" s="233"/>
      <c r="BZ52" s="233"/>
      <c r="CA52" s="233"/>
      <c r="CB52" s="233"/>
      <c r="CC52" s="233"/>
      <c r="CD52" s="233"/>
      <c r="CE52" s="233"/>
      <c r="CF52" s="233"/>
      <c r="CG52" s="233"/>
      <c r="CH52" s="233"/>
      <c r="CI52" s="233"/>
      <c r="CJ52" s="233"/>
      <c r="CK52" s="233"/>
      <c r="CL52" s="233"/>
      <c r="CM52" s="233"/>
      <c r="CN52" s="233"/>
      <c r="CO52" s="233"/>
      <c r="CP52" s="233"/>
      <c r="CQ52" s="233"/>
      <c r="CR52" s="233"/>
      <c r="CS52" s="233"/>
      <c r="CT52" s="233"/>
      <c r="CU52" s="233"/>
      <c r="CV52" s="233"/>
      <c r="CX52" s="232"/>
      <c r="CY52" s="232"/>
      <c r="CZ52" s="232"/>
    </row>
    <row r="53" spans="5:104" s="230" customFormat="1" x14ac:dyDescent="0.25">
      <c r="E53" s="231" t="str">
        <f>"NIP "&amp;Informasi_Rapot!C21</f>
        <v>NIP 196108151986031010</v>
      </c>
      <c r="F53" s="232"/>
      <c r="G53" s="232"/>
      <c r="H53" s="232"/>
      <c r="I53" s="232"/>
      <c r="J53" s="232"/>
      <c r="K53" s="232"/>
      <c r="L53" s="233"/>
      <c r="M53" s="233"/>
      <c r="N53" s="233"/>
      <c r="O53" s="233"/>
      <c r="P53" s="233"/>
      <c r="Q53" s="231" t="str">
        <f>"NIP "&amp;Informasi_Rapot!C23</f>
        <v>NIP 196509031991032004</v>
      </c>
      <c r="R53" s="233"/>
      <c r="S53" s="233"/>
      <c r="T53" s="233"/>
      <c r="U53" s="233"/>
      <c r="V53" s="233"/>
      <c r="W53" s="233"/>
      <c r="X53" s="233"/>
      <c r="Y53" s="233"/>
      <c r="Z53" s="233"/>
      <c r="AA53" s="233"/>
      <c r="AB53" s="233"/>
      <c r="AC53" s="233"/>
      <c r="AD53" s="233"/>
      <c r="AE53" s="233"/>
      <c r="AF53" s="233"/>
      <c r="AG53" s="233"/>
      <c r="AH53" s="233"/>
      <c r="AI53" s="233"/>
      <c r="AJ53" s="233"/>
      <c r="AK53" s="233"/>
      <c r="AL53" s="233"/>
      <c r="AM53" s="233"/>
      <c r="AN53" s="233"/>
      <c r="AO53" s="233"/>
      <c r="AP53" s="233"/>
      <c r="AQ53" s="233"/>
      <c r="AR53" s="233"/>
      <c r="AS53" s="233"/>
      <c r="AT53" s="233"/>
      <c r="AU53" s="233"/>
      <c r="AV53" s="233"/>
      <c r="AW53" s="233"/>
      <c r="AX53" s="233"/>
      <c r="AY53" s="233"/>
      <c r="AZ53" s="233"/>
      <c r="BA53" s="233"/>
      <c r="BB53" s="233"/>
      <c r="BC53" s="233"/>
      <c r="BD53" s="233"/>
      <c r="BE53" s="233"/>
      <c r="BF53" s="233"/>
      <c r="BG53" s="233"/>
      <c r="BH53" s="233"/>
      <c r="BI53" s="233"/>
      <c r="BJ53" s="233"/>
      <c r="BK53" s="233"/>
      <c r="BL53" s="233"/>
      <c r="BM53" s="233"/>
      <c r="BN53" s="233"/>
      <c r="BO53" s="233"/>
      <c r="BP53" s="233"/>
      <c r="BQ53" s="233"/>
      <c r="BR53" s="233"/>
      <c r="BS53" s="233"/>
      <c r="BT53" s="233"/>
      <c r="BU53" s="233"/>
      <c r="BV53" s="233"/>
      <c r="BW53" s="233"/>
      <c r="BX53" s="233"/>
      <c r="BY53" s="233"/>
      <c r="BZ53" s="233"/>
      <c r="CA53" s="233"/>
      <c r="CB53" s="233"/>
      <c r="CC53" s="233"/>
      <c r="CD53" s="233"/>
      <c r="CE53" s="233"/>
      <c r="CF53" s="233"/>
      <c r="CG53" s="233"/>
      <c r="CH53" s="233"/>
      <c r="CI53" s="233"/>
      <c r="CJ53" s="233"/>
      <c r="CK53" s="233"/>
      <c r="CL53" s="233"/>
      <c r="CM53" s="233"/>
      <c r="CN53" s="233"/>
      <c r="CO53" s="233"/>
      <c r="CP53" s="233"/>
      <c r="CQ53" s="233"/>
      <c r="CR53" s="233"/>
      <c r="CS53" s="233"/>
      <c r="CT53" s="233"/>
      <c r="CU53" s="233"/>
      <c r="CV53" s="233"/>
      <c r="CX53" s="232"/>
      <c r="CY53" s="232"/>
      <c r="CZ53" s="232"/>
    </row>
  </sheetData>
  <sheetProtection password="CF7A" sheet="1" objects="1" scenarios="1"/>
  <mergeCells count="47">
    <mergeCell ref="BV5:BX5"/>
    <mergeCell ref="B1:DC1"/>
    <mergeCell ref="B2:DC2"/>
    <mergeCell ref="CT5:CV5"/>
    <mergeCell ref="BD5:BF5"/>
    <mergeCell ref="BG5:BI5"/>
    <mergeCell ref="BJ5:BL5"/>
    <mergeCell ref="BM5:BO5"/>
    <mergeCell ref="BP5:BR5"/>
    <mergeCell ref="BS5:BU5"/>
    <mergeCell ref="AC5:AE5"/>
    <mergeCell ref="AF5:AH5"/>
    <mergeCell ref="AR5:AT5"/>
    <mergeCell ref="BA5:BC5"/>
    <mergeCell ref="CW5:CX5"/>
    <mergeCell ref="DA5:DA6"/>
    <mergeCell ref="CY5:CZ5"/>
    <mergeCell ref="DB5:DB6"/>
    <mergeCell ref="CW4:CZ4"/>
    <mergeCell ref="DA4:DC4"/>
    <mergeCell ref="DC5:DC6"/>
    <mergeCell ref="T5:V5"/>
    <mergeCell ref="W5:Y5"/>
    <mergeCell ref="Z5:AB5"/>
    <mergeCell ref="E4:V4"/>
    <mergeCell ref="W4:AE4"/>
    <mergeCell ref="E5:G5"/>
    <mergeCell ref="H5:J5"/>
    <mergeCell ref="K5:M5"/>
    <mergeCell ref="N5:P5"/>
    <mergeCell ref="Q5:S5"/>
    <mergeCell ref="AU5:AW5"/>
    <mergeCell ref="AF4:AW4"/>
    <mergeCell ref="CN5:CP5"/>
    <mergeCell ref="CQ5:CS5"/>
    <mergeCell ref="AX4:BX4"/>
    <mergeCell ref="BY4:CP4"/>
    <mergeCell ref="CQ4:CV4"/>
    <mergeCell ref="BY5:CA5"/>
    <mergeCell ref="CB5:CD5"/>
    <mergeCell ref="CE5:CG5"/>
    <mergeCell ref="CH5:CJ5"/>
    <mergeCell ref="CK5:CM5"/>
    <mergeCell ref="AI5:AK5"/>
    <mergeCell ref="AX5:AZ5"/>
    <mergeCell ref="AL5:AN5"/>
    <mergeCell ref="AO5:AQ5"/>
  </mergeCells>
  <conditionalFormatting sqref="E39:CJ46 E7:AK38 AL8:AT38 AX7:DC7 CK8:DC46 AX8:CJ38">
    <cfRule type="cellIs" dxfId="2" priority="5" operator="equal">
      <formula>0</formula>
    </cfRule>
  </conditionalFormatting>
  <conditionalFormatting sqref="CX7:CX39 CZ7:DC39">
    <cfRule type="cellIs" dxfId="1" priority="4" operator="equal">
      <formula>0</formula>
    </cfRule>
  </conditionalFormatting>
  <conditionalFormatting sqref="AL7:AW7 AU8:AW38">
    <cfRule type="cellIs" dxfId="0" priority="1" operator="equal">
      <formula>0</formula>
    </cfRule>
  </conditionalFormatting>
  <pageMargins left="0.98425196850393704" right="0.51181102362204722" top="0.19685039370078741" bottom="0.27559055118110237" header="0.31496062992125984" footer="0.31496062992125984"/>
  <pageSetup paperSize="5" scale="80" orientation="landscape" horizontalDpi="4294967293" verticalDpi="300" r:id="rId1"/>
  <headerFooter>
    <oddFooter>&amp;LRK2013 - &amp;P/&amp;N</oddFooter>
  </headerFooter>
  <colBreaks count="2" manualBreakCount="2">
    <brk id="31" max="52" man="1"/>
    <brk id="97" max="52" man="1"/>
  </colBreaks>
  <drawing r:id="rId2"/>
  <legacyDrawing r:id="rId3"/>
  <controls>
    <mc:AlternateContent xmlns:mc="http://schemas.openxmlformats.org/markup-compatibility/2006">
      <mc:Choice Requires="x14">
        <control shapeId="11267" r:id="rId4" name="CommandButton3">
          <controlPr defaultSize="0" autoFill="0" autoLine="0" r:id="rId5">
            <anchor moveWithCells="1">
              <from>
                <xdr:col>1</xdr:col>
                <xdr:colOff>19050</xdr:colOff>
                <xdr:row>53</xdr:row>
                <xdr:rowOff>76200</xdr:rowOff>
              </from>
              <to>
                <xdr:col>3</xdr:col>
                <xdr:colOff>476250</xdr:colOff>
                <xdr:row>55</xdr:row>
                <xdr:rowOff>142875</xdr:rowOff>
              </to>
            </anchor>
          </controlPr>
        </control>
      </mc:Choice>
      <mc:Fallback>
        <control shapeId="11267" r:id="rId4" name="CommandButton3"/>
      </mc:Fallback>
    </mc:AlternateContent>
    <mc:AlternateContent xmlns:mc="http://schemas.openxmlformats.org/markup-compatibility/2006">
      <mc:Choice Requires="x14">
        <control shapeId="11266" r:id="rId6" name="CommandButton2">
          <controlPr defaultSize="0" autoLine="0" r:id="rId7">
            <anchor moveWithCells="1">
              <from>
                <xdr:col>4</xdr:col>
                <xdr:colOff>228600</xdr:colOff>
                <xdr:row>53</xdr:row>
                <xdr:rowOff>76200</xdr:rowOff>
              </from>
              <to>
                <xdr:col>8</xdr:col>
                <xdr:colOff>247650</xdr:colOff>
                <xdr:row>55</xdr:row>
                <xdr:rowOff>142875</xdr:rowOff>
              </to>
            </anchor>
          </controlPr>
        </control>
      </mc:Choice>
      <mc:Fallback>
        <control shapeId="11266" r:id="rId6" name="CommandButton2"/>
      </mc:Fallback>
    </mc:AlternateContent>
    <mc:AlternateContent xmlns:mc="http://schemas.openxmlformats.org/markup-compatibility/2006">
      <mc:Choice Requires="x14">
        <control shapeId="11265" r:id="rId8" name="CommandButton1">
          <controlPr defaultSize="0" autoFill="0" autoLine="0" r:id="rId9">
            <anchor moveWithCells="1">
              <from>
                <xdr:col>3</xdr:col>
                <xdr:colOff>581025</xdr:colOff>
                <xdr:row>53</xdr:row>
                <xdr:rowOff>76200</xdr:rowOff>
              </from>
              <to>
                <xdr:col>4</xdr:col>
                <xdr:colOff>104775</xdr:colOff>
                <xdr:row>55</xdr:row>
                <xdr:rowOff>142875</xdr:rowOff>
              </to>
            </anchor>
          </controlPr>
        </control>
      </mc:Choice>
      <mc:Fallback>
        <control shapeId="11265" r:id="rId8" name="CommandButton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FF00"/>
  </sheetPr>
  <dimension ref="B2:BU47"/>
  <sheetViews>
    <sheetView showGridLines="0" zoomScale="72" zoomScaleNormal="72" workbookViewId="0">
      <selection activeCell="E7" sqref="E7"/>
    </sheetView>
  </sheetViews>
  <sheetFormatPr defaultRowHeight="15" x14ac:dyDescent="0.25"/>
  <cols>
    <col min="1" max="1" width="9" customWidth="1"/>
    <col min="2" max="2" width="5.140625" customWidth="1"/>
    <col min="3" max="3" width="7.7109375" customWidth="1"/>
    <col min="4" max="4" width="29.7109375" customWidth="1"/>
    <col min="5" max="5" width="57.42578125" style="46" customWidth="1"/>
    <col min="6" max="67" width="30.7109375" style="46" customWidth="1"/>
    <col min="68" max="68" width="42.5703125" style="46" customWidth="1"/>
    <col min="69" max="73" width="36.5703125" style="47" customWidth="1"/>
  </cols>
  <sheetData>
    <row r="2" spans="2:73" ht="25.5" customHeight="1" x14ac:dyDescent="0.25">
      <c r="B2" s="108"/>
      <c r="C2" s="108"/>
      <c r="D2" s="108"/>
      <c r="E2" s="402" t="s">
        <v>214</v>
      </c>
      <c r="F2" s="402"/>
      <c r="G2" s="402"/>
      <c r="H2" s="402"/>
      <c r="I2" s="402"/>
      <c r="J2" s="402"/>
      <c r="K2" s="402"/>
      <c r="L2" s="402"/>
      <c r="M2" s="402"/>
      <c r="N2" s="402"/>
      <c r="O2" s="402"/>
      <c r="P2" s="402"/>
      <c r="Q2" s="402"/>
      <c r="R2" s="402"/>
      <c r="S2" s="402"/>
      <c r="T2" s="402"/>
      <c r="U2" s="402"/>
      <c r="V2" s="402"/>
      <c r="W2" s="400" t="s">
        <v>213</v>
      </c>
      <c r="X2" s="400"/>
      <c r="Y2" s="400"/>
      <c r="Z2" s="400"/>
      <c r="AA2" s="400"/>
      <c r="AB2" s="400"/>
      <c r="AC2" s="400"/>
      <c r="AD2" s="400"/>
      <c r="AE2" s="400"/>
      <c r="AF2" s="546" t="s">
        <v>211</v>
      </c>
      <c r="AG2" s="546"/>
      <c r="AH2" s="546"/>
      <c r="AI2" s="546"/>
      <c r="AJ2" s="546"/>
      <c r="AK2" s="546"/>
      <c r="AL2" s="546"/>
      <c r="AM2" s="546"/>
      <c r="AN2" s="546"/>
      <c r="AO2" s="403" t="s">
        <v>212</v>
      </c>
      <c r="AP2" s="403"/>
      <c r="AQ2" s="403"/>
      <c r="AR2" s="403"/>
      <c r="AS2" s="403"/>
      <c r="AT2" s="403"/>
      <c r="AU2" s="403"/>
      <c r="AV2" s="403"/>
      <c r="AW2" s="403"/>
      <c r="AX2" s="403"/>
      <c r="AY2" s="403"/>
      <c r="AZ2" s="403"/>
      <c r="BA2" s="403"/>
      <c r="BB2" s="403"/>
      <c r="BC2" s="403"/>
      <c r="BD2" s="546" t="s">
        <v>210</v>
      </c>
      <c r="BE2" s="546"/>
      <c r="BF2" s="546"/>
      <c r="BG2" s="546"/>
      <c r="BH2" s="546"/>
      <c r="BI2" s="546"/>
      <c r="BJ2" s="546"/>
      <c r="BK2" s="546"/>
      <c r="BL2" s="546"/>
      <c r="BM2" s="416" t="s">
        <v>209</v>
      </c>
      <c r="BN2" s="417"/>
      <c r="BO2" s="418"/>
      <c r="BP2" s="413" t="s">
        <v>208</v>
      </c>
      <c r="BQ2" s="400" t="s">
        <v>165</v>
      </c>
      <c r="BR2" s="400"/>
      <c r="BS2" s="400"/>
      <c r="BT2" s="400"/>
      <c r="BU2" s="400"/>
    </row>
    <row r="3" spans="2:73" ht="15" customHeight="1" x14ac:dyDescent="0.25">
      <c r="B3" s="107" t="s">
        <v>18</v>
      </c>
      <c r="C3" s="107" t="s">
        <v>27</v>
      </c>
      <c r="D3" s="107" t="s">
        <v>19</v>
      </c>
      <c r="E3" s="406" t="str">
        <f>Mata_Pelajaran!E4</f>
        <v>Agama</v>
      </c>
      <c r="F3" s="401"/>
      <c r="G3" s="407"/>
      <c r="H3" s="409" t="str">
        <f>Mata_Pelajaran!E5</f>
        <v>PPKn</v>
      </c>
      <c r="I3" s="410"/>
      <c r="J3" s="411"/>
      <c r="K3" s="406" t="str">
        <f>Mata_Pelajaran!E6</f>
        <v>B. Indonesia</v>
      </c>
      <c r="L3" s="412"/>
      <c r="M3" s="407"/>
      <c r="N3" s="409" t="str">
        <f>Mata_Pelajaran!E7</f>
        <v>Matematika</v>
      </c>
      <c r="O3" s="410"/>
      <c r="P3" s="411"/>
      <c r="Q3" s="401" t="str">
        <f>Mata_Pelajaran!E8</f>
        <v>Sejarah</v>
      </c>
      <c r="R3" s="401"/>
      <c r="S3" s="401"/>
      <c r="T3" s="408" t="str">
        <f>Mata_Pelajaran!E9</f>
        <v>B. Inggris</v>
      </c>
      <c r="U3" s="408"/>
      <c r="V3" s="408"/>
      <c r="W3" s="401" t="str">
        <f>Mata_Pelajaran!E11</f>
        <v>Senibud</v>
      </c>
      <c r="X3" s="401"/>
      <c r="Y3" s="401"/>
      <c r="Z3" s="408" t="str">
        <f>Mata_Pelajaran!E12</f>
        <v>PJOK</v>
      </c>
      <c r="AA3" s="408"/>
      <c r="AB3" s="408"/>
      <c r="AC3" s="401" t="str">
        <f>Mata_Pelajaran!E13</f>
        <v>PKWU</v>
      </c>
      <c r="AD3" s="401"/>
      <c r="AE3" s="401"/>
      <c r="AF3" s="408" t="str">
        <f>Mata_Pelajaran!E15</f>
        <v>Fisika</v>
      </c>
      <c r="AG3" s="408"/>
      <c r="AH3" s="408"/>
      <c r="AI3" s="401" t="str">
        <f>Mata_Pelajaran!E16</f>
        <v>Siskom</v>
      </c>
      <c r="AJ3" s="401"/>
      <c r="AK3" s="401"/>
      <c r="AL3" s="408">
        <f>Mata_Pelajaran!E17</f>
        <v>0</v>
      </c>
      <c r="AM3" s="408"/>
      <c r="AN3" s="408"/>
      <c r="AO3" s="401" t="str">
        <f>Mata_Pelajaran!E21</f>
        <v>KT</v>
      </c>
      <c r="AP3" s="401"/>
      <c r="AQ3" s="401"/>
      <c r="AR3" s="408" t="str">
        <f>Mata_Pelajaran!E22</f>
        <v>RBJ</v>
      </c>
      <c r="AS3" s="408"/>
      <c r="AT3" s="408"/>
      <c r="AU3" s="401" t="str">
        <f>Mata_Pelajaran!E23</f>
        <v>KD</v>
      </c>
      <c r="AV3" s="401"/>
      <c r="AW3" s="401"/>
      <c r="AX3" s="408" t="str">
        <f>Mata_Pelajaran!E24</f>
        <v>PD</v>
      </c>
      <c r="AY3" s="408"/>
      <c r="AZ3" s="408"/>
      <c r="BA3" s="401" t="str">
        <f>Mata_Pelajaran!E25</f>
        <v>AS</v>
      </c>
      <c r="BB3" s="401"/>
      <c r="BC3" s="401"/>
      <c r="BD3" s="408">
        <f>Mata_Pelajaran!E27</f>
        <v>0</v>
      </c>
      <c r="BE3" s="408"/>
      <c r="BF3" s="408"/>
      <c r="BG3" s="401">
        <f>Mata_Pelajaran!E28</f>
        <v>0</v>
      </c>
      <c r="BH3" s="401"/>
      <c r="BI3" s="401"/>
      <c r="BJ3" s="408">
        <f>Mata_Pelajaran!E29</f>
        <v>0</v>
      </c>
      <c r="BK3" s="408"/>
      <c r="BL3" s="408"/>
      <c r="BM3" s="401">
        <f>Mata_Pelajaran!E35</f>
        <v>0</v>
      </c>
      <c r="BN3" s="401"/>
      <c r="BO3" s="401"/>
      <c r="BP3" s="414"/>
      <c r="BQ3" s="404" t="str">
        <f>Mata_Pelajaran!E38</f>
        <v>Pramuka</v>
      </c>
      <c r="BR3" s="404" t="str">
        <f>Mata_Pelajaran!E39</f>
        <v>OSIS</v>
      </c>
      <c r="BS3" s="404" t="str">
        <f>Mata_Pelajaran!E40</f>
        <v>ESQ</v>
      </c>
      <c r="BT3" s="404" t="str">
        <f>Mata_Pelajaran!E41</f>
        <v>Karate</v>
      </c>
      <c r="BU3" s="404" t="e">
        <f>Mata_Pelajaran!#REF!</f>
        <v>#REF!</v>
      </c>
    </row>
    <row r="4" spans="2:73" x14ac:dyDescent="0.25">
      <c r="B4" s="109"/>
      <c r="C4" s="109"/>
      <c r="D4" s="109"/>
      <c r="E4" s="49" t="s">
        <v>122</v>
      </c>
      <c r="F4" s="50" t="s">
        <v>226</v>
      </c>
      <c r="G4" s="48" t="s">
        <v>227</v>
      </c>
      <c r="H4" s="49" t="s">
        <v>122</v>
      </c>
      <c r="I4" s="50" t="s">
        <v>226</v>
      </c>
      <c r="J4" s="48" t="s">
        <v>227</v>
      </c>
      <c r="K4" s="49" t="s">
        <v>122</v>
      </c>
      <c r="L4" s="50" t="s">
        <v>226</v>
      </c>
      <c r="M4" s="48" t="s">
        <v>227</v>
      </c>
      <c r="N4" s="49" t="s">
        <v>122</v>
      </c>
      <c r="O4" s="50" t="s">
        <v>226</v>
      </c>
      <c r="P4" s="48" t="s">
        <v>227</v>
      </c>
      <c r="Q4" s="49" t="s">
        <v>122</v>
      </c>
      <c r="R4" s="50" t="s">
        <v>226</v>
      </c>
      <c r="S4" s="48" t="s">
        <v>227</v>
      </c>
      <c r="T4" s="49" t="s">
        <v>122</v>
      </c>
      <c r="U4" s="50" t="s">
        <v>226</v>
      </c>
      <c r="V4" s="48" t="s">
        <v>227</v>
      </c>
      <c r="W4" s="49" t="s">
        <v>122</v>
      </c>
      <c r="X4" s="50" t="s">
        <v>226</v>
      </c>
      <c r="Y4" s="48" t="s">
        <v>227</v>
      </c>
      <c r="Z4" s="49" t="s">
        <v>122</v>
      </c>
      <c r="AA4" s="50" t="s">
        <v>226</v>
      </c>
      <c r="AB4" s="48" t="s">
        <v>227</v>
      </c>
      <c r="AC4" s="49" t="s">
        <v>122</v>
      </c>
      <c r="AD4" s="50" t="s">
        <v>226</v>
      </c>
      <c r="AE4" s="48" t="s">
        <v>227</v>
      </c>
      <c r="AF4" s="49" t="s">
        <v>122</v>
      </c>
      <c r="AG4" s="50" t="s">
        <v>226</v>
      </c>
      <c r="AH4" s="48" t="s">
        <v>227</v>
      </c>
      <c r="AI4" s="49" t="s">
        <v>122</v>
      </c>
      <c r="AJ4" s="50" t="s">
        <v>226</v>
      </c>
      <c r="AK4" s="48" t="s">
        <v>227</v>
      </c>
      <c r="AL4" s="49" t="s">
        <v>122</v>
      </c>
      <c r="AM4" s="50" t="s">
        <v>226</v>
      </c>
      <c r="AN4" s="48" t="s">
        <v>227</v>
      </c>
      <c r="AO4" s="49" t="s">
        <v>122</v>
      </c>
      <c r="AP4" s="50" t="s">
        <v>226</v>
      </c>
      <c r="AQ4" s="48" t="s">
        <v>227</v>
      </c>
      <c r="AR4" s="49" t="s">
        <v>122</v>
      </c>
      <c r="AS4" s="50" t="s">
        <v>226</v>
      </c>
      <c r="AT4" s="48" t="s">
        <v>227</v>
      </c>
      <c r="AU4" s="49" t="s">
        <v>122</v>
      </c>
      <c r="AV4" s="50" t="s">
        <v>226</v>
      </c>
      <c r="AW4" s="48" t="s">
        <v>227</v>
      </c>
      <c r="AX4" s="49" t="s">
        <v>122</v>
      </c>
      <c r="AY4" s="50" t="s">
        <v>226</v>
      </c>
      <c r="AZ4" s="48" t="s">
        <v>227</v>
      </c>
      <c r="BA4" s="49" t="s">
        <v>122</v>
      </c>
      <c r="BB4" s="50" t="s">
        <v>226</v>
      </c>
      <c r="BC4" s="48" t="s">
        <v>227</v>
      </c>
      <c r="BD4" s="49" t="s">
        <v>122</v>
      </c>
      <c r="BE4" s="50" t="s">
        <v>226</v>
      </c>
      <c r="BF4" s="48" t="s">
        <v>227</v>
      </c>
      <c r="BG4" s="49" t="s">
        <v>122</v>
      </c>
      <c r="BH4" s="50" t="s">
        <v>226</v>
      </c>
      <c r="BI4" s="48" t="s">
        <v>227</v>
      </c>
      <c r="BJ4" s="49" t="s">
        <v>122</v>
      </c>
      <c r="BK4" s="50" t="s">
        <v>226</v>
      </c>
      <c r="BL4" s="48" t="s">
        <v>227</v>
      </c>
      <c r="BM4" s="49" t="s">
        <v>122</v>
      </c>
      <c r="BN4" s="50" t="s">
        <v>226</v>
      </c>
      <c r="BO4" s="48" t="s">
        <v>227</v>
      </c>
      <c r="BP4" s="415"/>
      <c r="BQ4" s="405"/>
      <c r="BR4" s="405"/>
      <c r="BS4" s="405"/>
      <c r="BT4" s="405"/>
      <c r="BU4" s="405"/>
    </row>
    <row r="5" spans="2:73" s="74" customFormat="1" ht="50.1" customHeight="1" x14ac:dyDescent="0.25">
      <c r="B5" s="98">
        <v>1</v>
      </c>
      <c r="C5" s="75" t="str">
        <f>Peserta_Didik!D3</f>
        <v>1314.10.107</v>
      </c>
      <c r="D5" s="99" t="str">
        <f>Peserta_Didik!C3</f>
        <v>Alfa Andeka Aerlangga</v>
      </c>
      <c r="E5" s="225" t="s">
        <v>197</v>
      </c>
      <c r="F5" s="225" t="s">
        <v>215</v>
      </c>
      <c r="G5" s="225" t="s">
        <v>216</v>
      </c>
      <c r="H5" s="225" t="s">
        <v>217</v>
      </c>
      <c r="I5" s="225" t="s">
        <v>218</v>
      </c>
      <c r="J5" s="225" t="s">
        <v>219</v>
      </c>
      <c r="K5" s="225" t="s">
        <v>220</v>
      </c>
      <c r="L5" s="225" t="s">
        <v>221</v>
      </c>
      <c r="M5" s="225" t="s">
        <v>222</v>
      </c>
      <c r="N5" s="225" t="s">
        <v>223</v>
      </c>
      <c r="O5" s="225" t="s">
        <v>224</v>
      </c>
      <c r="P5" s="225" t="s">
        <v>225</v>
      </c>
      <c r="Q5" s="225"/>
      <c r="R5" s="225"/>
      <c r="S5" s="225"/>
      <c r="T5" s="225"/>
      <c r="U5" s="225"/>
      <c r="V5" s="225"/>
      <c r="W5" s="225" t="s">
        <v>228</v>
      </c>
      <c r="X5" s="225" t="s">
        <v>229</v>
      </c>
      <c r="Y5" s="225" t="s">
        <v>230</v>
      </c>
      <c r="Z5" s="225" t="s">
        <v>231</v>
      </c>
      <c r="AA5" s="225" t="s">
        <v>232</v>
      </c>
      <c r="AB5" s="225" t="s">
        <v>233</v>
      </c>
      <c r="AC5" s="225" t="s">
        <v>234</v>
      </c>
      <c r="AD5" s="225" t="s">
        <v>235</v>
      </c>
      <c r="AE5" s="225" t="s">
        <v>236</v>
      </c>
      <c r="AF5" s="225" t="s">
        <v>237</v>
      </c>
      <c r="AG5" s="225" t="s">
        <v>238</v>
      </c>
      <c r="AH5" s="225" t="s">
        <v>239</v>
      </c>
      <c r="AI5" s="225" t="s">
        <v>240</v>
      </c>
      <c r="AJ5" s="225" t="s">
        <v>241</v>
      </c>
      <c r="AK5" s="225" t="s">
        <v>242</v>
      </c>
      <c r="AL5" s="225" t="s">
        <v>243</v>
      </c>
      <c r="AM5" s="225" t="s">
        <v>244</v>
      </c>
      <c r="AN5" s="225" t="s">
        <v>245</v>
      </c>
      <c r="AO5" s="225" t="s">
        <v>246</v>
      </c>
      <c r="AP5" s="225" t="s">
        <v>247</v>
      </c>
      <c r="AQ5" s="225" t="s">
        <v>248</v>
      </c>
      <c r="AR5" s="225">
        <v>1</v>
      </c>
      <c r="AS5" s="225">
        <v>2</v>
      </c>
      <c r="AT5" s="225">
        <v>3</v>
      </c>
      <c r="AU5" s="225">
        <v>4</v>
      </c>
      <c r="AV5" s="225">
        <v>5</v>
      </c>
      <c r="AW5" s="225">
        <v>6</v>
      </c>
      <c r="AX5" s="225">
        <v>7</v>
      </c>
      <c r="AY5" s="225">
        <v>8</v>
      </c>
      <c r="AZ5" s="225">
        <v>9</v>
      </c>
      <c r="BA5" s="225">
        <v>10</v>
      </c>
      <c r="BB5" s="225">
        <v>11</v>
      </c>
      <c r="BC5" s="225">
        <v>12</v>
      </c>
      <c r="BD5" s="225">
        <v>13</v>
      </c>
      <c r="BE5" s="225">
        <v>14</v>
      </c>
      <c r="BF5" s="225">
        <v>15</v>
      </c>
      <c r="BG5" s="225">
        <v>16</v>
      </c>
      <c r="BH5" s="225">
        <v>17</v>
      </c>
      <c r="BI5" s="225">
        <v>18</v>
      </c>
      <c r="BJ5" s="225">
        <v>19</v>
      </c>
      <c r="BK5" s="225">
        <v>20</v>
      </c>
      <c r="BL5" s="225">
        <v>21</v>
      </c>
      <c r="BM5" s="225">
        <v>22</v>
      </c>
      <c r="BN5" s="225">
        <v>23</v>
      </c>
      <c r="BO5" s="225">
        <v>24</v>
      </c>
      <c r="BP5" s="225" t="s">
        <v>128</v>
      </c>
      <c r="BQ5" s="225" t="s">
        <v>206</v>
      </c>
      <c r="BR5" s="225" t="s">
        <v>203</v>
      </c>
      <c r="BS5" s="225" t="s">
        <v>202</v>
      </c>
      <c r="BT5" s="225" t="s">
        <v>204</v>
      </c>
      <c r="BU5" s="225" t="s">
        <v>205</v>
      </c>
    </row>
    <row r="6" spans="2:73" s="74" customFormat="1" ht="50.1" customHeight="1" x14ac:dyDescent="0.25">
      <c r="B6" s="98">
        <v>2</v>
      </c>
      <c r="C6" s="75" t="str">
        <f>Peserta_Didik!D4</f>
        <v>1314.10.108</v>
      </c>
      <c r="D6" s="99" t="str">
        <f>Peserta_Didik!C4</f>
        <v>Andi Setiawan</v>
      </c>
      <c r="E6" s="225"/>
      <c r="F6" s="225"/>
      <c r="G6" s="225"/>
      <c r="H6" s="225"/>
      <c r="I6" s="225"/>
      <c r="J6" s="225"/>
      <c r="K6" s="225"/>
      <c r="L6" s="225"/>
      <c r="M6" s="225"/>
      <c r="N6" s="225"/>
      <c r="O6" s="225"/>
      <c r="P6" s="225"/>
      <c r="Q6" s="225"/>
      <c r="R6" s="225"/>
      <c r="S6" s="225"/>
      <c r="T6" s="225"/>
      <c r="U6" s="225"/>
      <c r="V6" s="225"/>
      <c r="W6" s="225"/>
      <c r="X6" s="225"/>
      <c r="Y6" s="225"/>
      <c r="Z6" s="225"/>
      <c r="AA6" s="225"/>
      <c r="AB6" s="225"/>
      <c r="AC6" s="225"/>
      <c r="AD6" s="225"/>
      <c r="AE6" s="225"/>
      <c r="AF6" s="225"/>
      <c r="AG6" s="225"/>
      <c r="AH6" s="225"/>
      <c r="AI6" s="225"/>
      <c r="AJ6" s="225"/>
      <c r="AK6" s="225"/>
      <c r="AL6" s="225"/>
      <c r="AM6" s="225"/>
      <c r="AN6" s="225"/>
      <c r="AO6" s="225"/>
      <c r="AP6" s="225"/>
      <c r="AQ6" s="225"/>
      <c r="AR6" s="225"/>
      <c r="AS6" s="225"/>
      <c r="AT6" s="225"/>
      <c r="AU6" s="225"/>
      <c r="AV6" s="225"/>
      <c r="AW6" s="225"/>
      <c r="AX6" s="225"/>
      <c r="AY6" s="225"/>
      <c r="AZ6" s="225"/>
      <c r="BA6" s="225"/>
      <c r="BB6" s="225"/>
      <c r="BC6" s="225"/>
      <c r="BD6" s="225"/>
      <c r="BE6" s="225"/>
      <c r="BF6" s="225"/>
      <c r="BG6" s="225"/>
      <c r="BH6" s="225"/>
      <c r="BI6" s="225"/>
      <c r="BJ6" s="225"/>
      <c r="BK6" s="225"/>
      <c r="BL6" s="225"/>
      <c r="BM6" s="225"/>
      <c r="BN6" s="225"/>
      <c r="BO6" s="225"/>
      <c r="BP6" s="225"/>
      <c r="BQ6" s="225"/>
      <c r="BR6" s="225"/>
      <c r="BS6" s="225"/>
      <c r="BT6" s="225"/>
      <c r="BU6" s="225"/>
    </row>
    <row r="7" spans="2:73" s="74" customFormat="1" ht="50.1" customHeight="1" x14ac:dyDescent="0.25">
      <c r="B7" s="98">
        <v>3</v>
      </c>
      <c r="C7" s="75" t="str">
        <f>Peserta_Didik!D5</f>
        <v>1314.10.109</v>
      </c>
      <c r="D7" s="99" t="str">
        <f>Peserta_Didik!C5</f>
        <v>Andreas Rizki Rizaldi</v>
      </c>
      <c r="E7" s="225"/>
      <c r="F7" s="225"/>
      <c r="G7" s="225"/>
      <c r="H7" s="225"/>
      <c r="I7" s="225"/>
      <c r="J7" s="225"/>
      <c r="K7" s="225"/>
      <c r="L7" s="225"/>
      <c r="M7" s="225"/>
      <c r="N7" s="225"/>
      <c r="O7" s="225"/>
      <c r="P7" s="225"/>
      <c r="Q7" s="225"/>
      <c r="R7" s="225"/>
      <c r="S7" s="225"/>
      <c r="T7" s="225"/>
      <c r="U7" s="225"/>
      <c r="V7" s="225"/>
      <c r="W7" s="225"/>
      <c r="X7" s="225"/>
      <c r="Y7" s="225"/>
      <c r="Z7" s="225"/>
      <c r="AA7" s="225"/>
      <c r="AB7" s="225"/>
      <c r="AC7" s="225"/>
      <c r="AD7" s="225"/>
      <c r="AE7" s="225"/>
      <c r="AF7" s="225"/>
      <c r="AG7" s="225"/>
      <c r="AH7" s="225"/>
      <c r="AI7" s="225"/>
      <c r="AJ7" s="225"/>
      <c r="AK7" s="225"/>
      <c r="AL7" s="225"/>
      <c r="AM7" s="225"/>
      <c r="AN7" s="225"/>
      <c r="AO7" s="225"/>
      <c r="AP7" s="225"/>
      <c r="AQ7" s="225"/>
      <c r="AR7" s="225"/>
      <c r="AS7" s="225"/>
      <c r="AT7" s="225"/>
      <c r="AU7" s="225"/>
      <c r="AV7" s="225"/>
      <c r="AW7" s="225"/>
      <c r="AX7" s="225"/>
      <c r="AY7" s="225"/>
      <c r="AZ7" s="225"/>
      <c r="BA7" s="225"/>
      <c r="BB7" s="225"/>
      <c r="BC7" s="225"/>
      <c r="BD7" s="225"/>
      <c r="BE7" s="225"/>
      <c r="BF7" s="225"/>
      <c r="BG7" s="225"/>
      <c r="BH7" s="225"/>
      <c r="BI7" s="225"/>
      <c r="BJ7" s="225"/>
      <c r="BK7" s="225"/>
      <c r="BL7" s="225"/>
      <c r="BM7" s="225"/>
      <c r="BN7" s="225"/>
      <c r="BO7" s="225"/>
      <c r="BP7" s="225"/>
      <c r="BQ7" s="225"/>
      <c r="BR7" s="225"/>
      <c r="BS7" s="225"/>
      <c r="BT7" s="225"/>
      <c r="BU7" s="225"/>
    </row>
    <row r="8" spans="2:73" s="74" customFormat="1" ht="50.1" customHeight="1" x14ac:dyDescent="0.25">
      <c r="B8" s="98">
        <v>4</v>
      </c>
      <c r="C8" s="75" t="str">
        <f>Peserta_Didik!D6</f>
        <v>1314.10.110</v>
      </c>
      <c r="D8" s="99" t="str">
        <f>Peserta_Didik!C6</f>
        <v>Arif Setya Permana</v>
      </c>
      <c r="E8" s="225"/>
      <c r="F8" s="225"/>
      <c r="G8" s="225"/>
      <c r="H8" s="225"/>
      <c r="I8" s="225"/>
      <c r="J8" s="225"/>
      <c r="K8" s="225"/>
      <c r="L8" s="225"/>
      <c r="M8" s="225"/>
      <c r="N8" s="225"/>
      <c r="O8" s="225"/>
      <c r="P8" s="225"/>
      <c r="Q8" s="225"/>
      <c r="R8" s="225"/>
      <c r="S8" s="225"/>
      <c r="T8" s="225"/>
      <c r="U8" s="225"/>
      <c r="V8" s="225"/>
      <c r="W8" s="225"/>
      <c r="X8" s="225"/>
      <c r="Y8" s="225"/>
      <c r="Z8" s="225"/>
      <c r="AA8" s="225"/>
      <c r="AB8" s="225"/>
      <c r="AC8" s="225"/>
      <c r="AD8" s="225"/>
      <c r="AE8" s="225"/>
      <c r="AF8" s="225"/>
      <c r="AG8" s="225"/>
      <c r="AH8" s="225"/>
      <c r="AI8" s="225"/>
      <c r="AJ8" s="225"/>
      <c r="AK8" s="225"/>
      <c r="AL8" s="225"/>
      <c r="AM8" s="225"/>
      <c r="AN8" s="225"/>
      <c r="AO8" s="225"/>
      <c r="AP8" s="225"/>
      <c r="AQ8" s="225"/>
      <c r="AR8" s="225"/>
      <c r="AS8" s="225"/>
      <c r="AT8" s="225"/>
      <c r="AU8" s="225"/>
      <c r="AV8" s="225"/>
      <c r="AW8" s="225"/>
      <c r="AX8" s="225"/>
      <c r="AY8" s="225"/>
      <c r="AZ8" s="225"/>
      <c r="BA8" s="225"/>
      <c r="BB8" s="225"/>
      <c r="BC8" s="225"/>
      <c r="BD8" s="225"/>
      <c r="BE8" s="225"/>
      <c r="BF8" s="225"/>
      <c r="BG8" s="225"/>
      <c r="BH8" s="225"/>
      <c r="BI8" s="225"/>
      <c r="BJ8" s="225"/>
      <c r="BK8" s="225"/>
      <c r="BL8" s="225"/>
      <c r="BM8" s="225"/>
      <c r="BN8" s="225"/>
      <c r="BO8" s="225"/>
      <c r="BP8" s="225"/>
      <c r="BQ8" s="225"/>
      <c r="BR8" s="225"/>
      <c r="BS8" s="225"/>
      <c r="BT8" s="225"/>
      <c r="BU8" s="225"/>
    </row>
    <row r="9" spans="2:73" s="74" customFormat="1" ht="50.1" customHeight="1" x14ac:dyDescent="0.25">
      <c r="B9" s="98">
        <v>5</v>
      </c>
      <c r="C9" s="75" t="str">
        <f>Peserta_Didik!D7</f>
        <v>1314.10.111</v>
      </c>
      <c r="D9" s="99" t="str">
        <f>Peserta_Didik!C7</f>
        <v>Cecep Solehudin</v>
      </c>
      <c r="E9" s="225"/>
      <c r="F9" s="225"/>
      <c r="G9" s="225"/>
      <c r="H9" s="225"/>
      <c r="I9" s="225"/>
      <c r="J9" s="225"/>
      <c r="K9" s="225"/>
      <c r="L9" s="225"/>
      <c r="M9" s="225"/>
      <c r="N9" s="225"/>
      <c r="O9" s="225"/>
      <c r="P9" s="225"/>
      <c r="Q9" s="225"/>
      <c r="R9" s="225"/>
      <c r="S9" s="225"/>
      <c r="T9" s="225"/>
      <c r="U9" s="225"/>
      <c r="V9" s="225"/>
      <c r="W9" s="225"/>
      <c r="X9" s="225"/>
      <c r="Y9" s="225"/>
      <c r="Z9" s="225"/>
      <c r="AA9" s="225"/>
      <c r="AB9" s="225"/>
      <c r="AC9" s="225"/>
      <c r="AD9" s="225"/>
      <c r="AE9" s="225"/>
      <c r="AF9" s="225"/>
      <c r="AG9" s="225"/>
      <c r="AH9" s="225"/>
      <c r="AI9" s="225"/>
      <c r="AJ9" s="225"/>
      <c r="AK9" s="225"/>
      <c r="AL9" s="225"/>
      <c r="AM9" s="225"/>
      <c r="AN9" s="225"/>
      <c r="AO9" s="225"/>
      <c r="AP9" s="225"/>
      <c r="AQ9" s="225"/>
      <c r="AR9" s="225"/>
      <c r="AS9" s="225"/>
      <c r="AT9" s="225"/>
      <c r="AU9" s="225"/>
      <c r="AV9" s="225"/>
      <c r="AW9" s="225"/>
      <c r="AX9" s="225"/>
      <c r="AY9" s="225"/>
      <c r="AZ9" s="225"/>
      <c r="BA9" s="225"/>
      <c r="BB9" s="225"/>
      <c r="BC9" s="225"/>
      <c r="BD9" s="225"/>
      <c r="BE9" s="225"/>
      <c r="BF9" s="225"/>
      <c r="BG9" s="225"/>
      <c r="BH9" s="225"/>
      <c r="BI9" s="225"/>
      <c r="BJ9" s="225"/>
      <c r="BK9" s="225"/>
      <c r="BL9" s="225"/>
      <c r="BM9" s="225"/>
      <c r="BN9" s="225"/>
      <c r="BO9" s="225"/>
      <c r="BP9" s="225"/>
      <c r="BQ9" s="225"/>
      <c r="BR9" s="225"/>
      <c r="BS9" s="225"/>
      <c r="BT9" s="225"/>
      <c r="BU9" s="225"/>
    </row>
    <row r="10" spans="2:73" s="74" customFormat="1" ht="50.1" customHeight="1" x14ac:dyDescent="0.25">
      <c r="B10" s="98">
        <v>6</v>
      </c>
      <c r="C10" s="75" t="str">
        <f>Peserta_Didik!D8</f>
        <v>1314.10.112</v>
      </c>
      <c r="D10" s="99" t="str">
        <f>Peserta_Didik!C8</f>
        <v>Cepy Septiahadi</v>
      </c>
      <c r="E10" s="225"/>
      <c r="F10" s="225"/>
      <c r="G10" s="225"/>
      <c r="H10" s="225"/>
      <c r="I10" s="225"/>
      <c r="J10" s="225"/>
      <c r="K10" s="225"/>
      <c r="L10" s="225"/>
      <c r="M10" s="225"/>
      <c r="N10" s="225"/>
      <c r="O10" s="225"/>
      <c r="P10" s="225"/>
      <c r="Q10" s="225"/>
      <c r="R10" s="225"/>
      <c r="S10" s="225"/>
      <c r="T10" s="225"/>
      <c r="U10" s="225"/>
      <c r="V10" s="225"/>
      <c r="W10" s="225"/>
      <c r="X10" s="225"/>
      <c r="Y10" s="225"/>
      <c r="Z10" s="225"/>
      <c r="AA10" s="225"/>
      <c r="AB10" s="225"/>
      <c r="AC10" s="225"/>
      <c r="AD10" s="225"/>
      <c r="AE10" s="225"/>
      <c r="AF10" s="225"/>
      <c r="AG10" s="225"/>
      <c r="AH10" s="225"/>
      <c r="AI10" s="225"/>
      <c r="AJ10" s="225"/>
      <c r="AK10" s="225"/>
      <c r="AL10" s="225"/>
      <c r="AM10" s="225"/>
      <c r="AN10" s="225"/>
      <c r="AO10" s="225"/>
      <c r="AP10" s="225"/>
      <c r="AQ10" s="225"/>
      <c r="AR10" s="225"/>
      <c r="AS10" s="225"/>
      <c r="AT10" s="225"/>
      <c r="AU10" s="225"/>
      <c r="AV10" s="225"/>
      <c r="AW10" s="225"/>
      <c r="AX10" s="225"/>
      <c r="AY10" s="225"/>
      <c r="AZ10" s="225"/>
      <c r="BA10" s="225"/>
      <c r="BB10" s="225"/>
      <c r="BC10" s="225"/>
      <c r="BD10" s="225"/>
      <c r="BE10" s="225"/>
      <c r="BF10" s="225"/>
      <c r="BG10" s="225"/>
      <c r="BH10" s="225"/>
      <c r="BI10" s="225"/>
      <c r="BJ10" s="225"/>
      <c r="BK10" s="225"/>
      <c r="BL10" s="225"/>
      <c r="BM10" s="225"/>
      <c r="BN10" s="225"/>
      <c r="BO10" s="225"/>
      <c r="BP10" s="225"/>
      <c r="BQ10" s="225"/>
      <c r="BR10" s="225"/>
      <c r="BS10" s="225"/>
      <c r="BT10" s="225"/>
      <c r="BU10" s="225"/>
    </row>
    <row r="11" spans="2:73" s="74" customFormat="1" ht="50.1" customHeight="1" x14ac:dyDescent="0.25">
      <c r="B11" s="98">
        <v>7</v>
      </c>
      <c r="C11" s="75" t="str">
        <f>Peserta_Didik!D9</f>
        <v>1314.10.113</v>
      </c>
      <c r="D11" s="99" t="str">
        <f>Peserta_Didik!C9</f>
        <v>Chandra Khoerudin</v>
      </c>
      <c r="E11" s="225"/>
      <c r="F11" s="225"/>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c r="AE11" s="225"/>
      <c r="AF11" s="225"/>
      <c r="AG11" s="225"/>
      <c r="AH11" s="225"/>
      <c r="AI11" s="225"/>
      <c r="AJ11" s="225"/>
      <c r="AK11" s="225"/>
      <c r="AL11" s="225"/>
      <c r="AM11" s="225"/>
      <c r="AN11" s="225"/>
      <c r="AO11" s="225"/>
      <c r="AP11" s="225"/>
      <c r="AQ11" s="225"/>
      <c r="AR11" s="225"/>
      <c r="AS11" s="225"/>
      <c r="AT11" s="225"/>
      <c r="AU11" s="225"/>
      <c r="AV11" s="225"/>
      <c r="AW11" s="225"/>
      <c r="AX11" s="225"/>
      <c r="AY11" s="225"/>
      <c r="AZ11" s="225"/>
      <c r="BA11" s="225"/>
      <c r="BB11" s="225"/>
      <c r="BC11" s="225"/>
      <c r="BD11" s="225"/>
      <c r="BE11" s="225"/>
      <c r="BF11" s="225"/>
      <c r="BG11" s="225"/>
      <c r="BH11" s="225"/>
      <c r="BI11" s="225"/>
      <c r="BJ11" s="225"/>
      <c r="BK11" s="225"/>
      <c r="BL11" s="225"/>
      <c r="BM11" s="225"/>
      <c r="BN11" s="225"/>
      <c r="BO11" s="225"/>
      <c r="BP11" s="225"/>
      <c r="BQ11" s="225"/>
      <c r="BR11" s="225"/>
      <c r="BS11" s="225"/>
      <c r="BT11" s="225"/>
      <c r="BU11" s="225"/>
    </row>
    <row r="12" spans="2:73" s="74" customFormat="1" ht="50.1" customHeight="1" x14ac:dyDescent="0.25">
      <c r="B12" s="98">
        <v>8</v>
      </c>
      <c r="C12" s="75" t="str">
        <f>Peserta_Didik!D10</f>
        <v>1314.10.114</v>
      </c>
      <c r="D12" s="99" t="str">
        <f>Peserta_Didik!C10</f>
        <v>Chepy Trisnandar</v>
      </c>
      <c r="E12" s="225"/>
      <c r="F12" s="225"/>
      <c r="G12" s="225"/>
      <c r="H12" s="225"/>
      <c r="I12" s="225"/>
      <c r="J12" s="225"/>
      <c r="K12" s="225"/>
      <c r="L12" s="225"/>
      <c r="M12" s="225"/>
      <c r="N12" s="225"/>
      <c r="O12" s="225"/>
      <c r="P12" s="225"/>
      <c r="Q12" s="225"/>
      <c r="R12" s="225"/>
      <c r="S12" s="225"/>
      <c r="T12" s="225"/>
      <c r="U12" s="225"/>
      <c r="V12" s="225"/>
      <c r="W12" s="225"/>
      <c r="X12" s="225"/>
      <c r="Y12" s="225"/>
      <c r="Z12" s="225"/>
      <c r="AA12" s="225"/>
      <c r="AB12" s="225"/>
      <c r="AC12" s="225"/>
      <c r="AD12" s="225"/>
      <c r="AE12" s="225"/>
      <c r="AF12" s="225"/>
      <c r="AG12" s="225"/>
      <c r="AH12" s="225"/>
      <c r="AI12" s="225"/>
      <c r="AJ12" s="225"/>
      <c r="AK12" s="225"/>
      <c r="AL12" s="225"/>
      <c r="AM12" s="225"/>
      <c r="AN12" s="225"/>
      <c r="AO12" s="225"/>
      <c r="AP12" s="225"/>
      <c r="AQ12" s="225"/>
      <c r="AR12" s="225"/>
      <c r="AS12" s="225"/>
      <c r="AT12" s="225"/>
      <c r="AU12" s="225"/>
      <c r="AV12" s="225"/>
      <c r="AW12" s="225"/>
      <c r="AX12" s="225"/>
      <c r="AY12" s="225"/>
      <c r="AZ12" s="225"/>
      <c r="BA12" s="225"/>
      <c r="BB12" s="225"/>
      <c r="BC12" s="225"/>
      <c r="BD12" s="225"/>
      <c r="BE12" s="225"/>
      <c r="BF12" s="225"/>
      <c r="BG12" s="225"/>
      <c r="BH12" s="225"/>
      <c r="BI12" s="225"/>
      <c r="BJ12" s="225"/>
      <c r="BK12" s="225"/>
      <c r="BL12" s="225"/>
      <c r="BM12" s="225"/>
      <c r="BN12" s="225"/>
      <c r="BO12" s="225"/>
      <c r="BP12" s="225"/>
      <c r="BQ12" s="225"/>
      <c r="BR12" s="225"/>
      <c r="BS12" s="225"/>
      <c r="BT12" s="225"/>
      <c r="BU12" s="225"/>
    </row>
    <row r="13" spans="2:73" s="74" customFormat="1" ht="50.1" customHeight="1" x14ac:dyDescent="0.25">
      <c r="B13" s="98">
        <v>9</v>
      </c>
      <c r="C13" s="75" t="str">
        <f>Peserta_Didik!D11</f>
        <v>1314.10.115</v>
      </c>
      <c r="D13" s="99" t="str">
        <f>Peserta_Didik!C11</f>
        <v>Dinda Prastiwi</v>
      </c>
      <c r="E13" s="225"/>
      <c r="F13" s="225"/>
      <c r="G13" s="225"/>
      <c r="H13" s="225"/>
      <c r="I13" s="225"/>
      <c r="J13" s="225"/>
      <c r="K13" s="225"/>
      <c r="L13" s="225"/>
      <c r="M13" s="225"/>
      <c r="N13" s="225"/>
      <c r="O13" s="225"/>
      <c r="P13" s="225"/>
      <c r="Q13" s="225"/>
      <c r="R13" s="225"/>
      <c r="S13" s="225"/>
      <c r="T13" s="225"/>
      <c r="U13" s="225"/>
      <c r="V13" s="225"/>
      <c r="W13" s="225"/>
      <c r="X13" s="225"/>
      <c r="Y13" s="225"/>
      <c r="Z13" s="225"/>
      <c r="AA13" s="225"/>
      <c r="AB13" s="225"/>
      <c r="AC13" s="225"/>
      <c r="AD13" s="225"/>
      <c r="AE13" s="225"/>
      <c r="AF13" s="225"/>
      <c r="AG13" s="225"/>
      <c r="AH13" s="225"/>
      <c r="AI13" s="225"/>
      <c r="AJ13" s="225"/>
      <c r="AK13" s="225"/>
      <c r="AL13" s="225"/>
      <c r="AM13" s="225"/>
      <c r="AN13" s="225"/>
      <c r="AO13" s="225"/>
      <c r="AP13" s="225"/>
      <c r="AQ13" s="225"/>
      <c r="AR13" s="225"/>
      <c r="AS13" s="225"/>
      <c r="AT13" s="225"/>
      <c r="AU13" s="225"/>
      <c r="AV13" s="225"/>
      <c r="AW13" s="225"/>
      <c r="AX13" s="225"/>
      <c r="AY13" s="225"/>
      <c r="AZ13" s="225"/>
      <c r="BA13" s="225"/>
      <c r="BB13" s="225"/>
      <c r="BC13" s="225"/>
      <c r="BD13" s="225"/>
      <c r="BE13" s="225"/>
      <c r="BF13" s="225"/>
      <c r="BG13" s="225"/>
      <c r="BH13" s="225"/>
      <c r="BI13" s="225"/>
      <c r="BJ13" s="225"/>
      <c r="BK13" s="225"/>
      <c r="BL13" s="225"/>
      <c r="BM13" s="225"/>
      <c r="BN13" s="225"/>
      <c r="BO13" s="225"/>
      <c r="BP13" s="225"/>
      <c r="BQ13" s="225"/>
      <c r="BR13" s="225"/>
      <c r="BS13" s="225"/>
      <c r="BT13" s="225"/>
      <c r="BU13" s="225"/>
    </row>
    <row r="14" spans="2:73" s="74" customFormat="1" ht="50.1" customHeight="1" x14ac:dyDescent="0.25">
      <c r="B14" s="98">
        <v>10</v>
      </c>
      <c r="C14" s="75" t="str">
        <f>Peserta_Didik!D12</f>
        <v>1314.10.116</v>
      </c>
      <c r="D14" s="99" t="str">
        <f>Peserta_Didik!C12</f>
        <v>Dwiki Pratama Suherman</v>
      </c>
      <c r="E14" s="225"/>
      <c r="F14" s="225"/>
      <c r="G14" s="225"/>
      <c r="H14" s="225"/>
      <c r="I14" s="225"/>
      <c r="J14" s="225"/>
      <c r="K14" s="225"/>
      <c r="L14" s="225"/>
      <c r="M14" s="225"/>
      <c r="N14" s="225"/>
      <c r="O14" s="225"/>
      <c r="P14" s="225"/>
      <c r="Q14" s="225"/>
      <c r="R14" s="225"/>
      <c r="S14" s="225"/>
      <c r="T14" s="225"/>
      <c r="U14" s="225"/>
      <c r="V14" s="225"/>
      <c r="W14" s="225"/>
      <c r="X14" s="225"/>
      <c r="Y14" s="225"/>
      <c r="Z14" s="225"/>
      <c r="AA14" s="225"/>
      <c r="AB14" s="225"/>
      <c r="AC14" s="225"/>
      <c r="AD14" s="225"/>
      <c r="AE14" s="225"/>
      <c r="AF14" s="225"/>
      <c r="AG14" s="225"/>
      <c r="AH14" s="225"/>
      <c r="AI14" s="225"/>
      <c r="AJ14" s="225"/>
      <c r="AK14" s="225"/>
      <c r="AL14" s="225"/>
      <c r="AM14" s="225"/>
      <c r="AN14" s="225"/>
      <c r="AO14" s="225"/>
      <c r="AP14" s="225"/>
      <c r="AQ14" s="225"/>
      <c r="AR14" s="225"/>
      <c r="AS14" s="225"/>
      <c r="AT14" s="225"/>
      <c r="AU14" s="225"/>
      <c r="AV14" s="225"/>
      <c r="AW14" s="225"/>
      <c r="AX14" s="225"/>
      <c r="AY14" s="225"/>
      <c r="AZ14" s="225"/>
      <c r="BA14" s="225"/>
      <c r="BB14" s="225"/>
      <c r="BC14" s="225"/>
      <c r="BD14" s="225"/>
      <c r="BE14" s="225"/>
      <c r="BF14" s="225"/>
      <c r="BG14" s="225"/>
      <c r="BH14" s="225"/>
      <c r="BI14" s="225"/>
      <c r="BJ14" s="225"/>
      <c r="BK14" s="225"/>
      <c r="BL14" s="225"/>
      <c r="BM14" s="225"/>
      <c r="BN14" s="225"/>
      <c r="BO14" s="225"/>
      <c r="BP14" s="225"/>
      <c r="BQ14" s="225"/>
      <c r="BR14" s="225"/>
      <c r="BS14" s="225"/>
      <c r="BT14" s="225"/>
      <c r="BU14" s="225"/>
    </row>
    <row r="15" spans="2:73" s="74" customFormat="1" ht="50.1" customHeight="1" x14ac:dyDescent="0.25">
      <c r="B15" s="98">
        <v>11</v>
      </c>
      <c r="C15" s="75" t="str">
        <f>Peserta_Didik!D13</f>
        <v>1314.10.117</v>
      </c>
      <c r="D15" s="99" t="str">
        <f>Peserta_Didik!C13</f>
        <v>Erry Nur Azhari</v>
      </c>
      <c r="E15" s="225"/>
      <c r="F15" s="225"/>
      <c r="G15" s="225"/>
      <c r="H15" s="225"/>
      <c r="I15" s="225"/>
      <c r="J15" s="225"/>
      <c r="K15" s="225"/>
      <c r="L15" s="225"/>
      <c r="M15" s="225"/>
      <c r="N15" s="225"/>
      <c r="O15" s="225"/>
      <c r="P15" s="225"/>
      <c r="Q15" s="225"/>
      <c r="R15" s="225"/>
      <c r="S15" s="225"/>
      <c r="T15" s="225"/>
      <c r="U15" s="225"/>
      <c r="V15" s="225"/>
      <c r="W15" s="225"/>
      <c r="X15" s="225"/>
      <c r="Y15" s="225"/>
      <c r="Z15" s="225"/>
      <c r="AA15" s="225"/>
      <c r="AB15" s="225"/>
      <c r="AC15" s="225"/>
      <c r="AD15" s="225"/>
      <c r="AE15" s="225"/>
      <c r="AF15" s="225"/>
      <c r="AG15" s="225"/>
      <c r="AH15" s="225"/>
      <c r="AI15" s="225"/>
      <c r="AJ15" s="225"/>
      <c r="AK15" s="225"/>
      <c r="AL15" s="225"/>
      <c r="AM15" s="225"/>
      <c r="AN15" s="225"/>
      <c r="AO15" s="225"/>
      <c r="AP15" s="225"/>
      <c r="AQ15" s="225"/>
      <c r="AR15" s="225"/>
      <c r="AS15" s="225"/>
      <c r="AT15" s="225"/>
      <c r="AU15" s="225"/>
      <c r="AV15" s="225"/>
      <c r="AW15" s="225"/>
      <c r="AX15" s="225"/>
      <c r="AY15" s="225"/>
      <c r="AZ15" s="225"/>
      <c r="BA15" s="225"/>
      <c r="BB15" s="225"/>
      <c r="BC15" s="225"/>
      <c r="BD15" s="225"/>
      <c r="BE15" s="225"/>
      <c r="BF15" s="225"/>
      <c r="BG15" s="225"/>
      <c r="BH15" s="225"/>
      <c r="BI15" s="225"/>
      <c r="BJ15" s="225"/>
      <c r="BK15" s="225"/>
      <c r="BL15" s="225"/>
      <c r="BM15" s="225"/>
      <c r="BN15" s="225"/>
      <c r="BO15" s="225"/>
      <c r="BP15" s="225"/>
      <c r="BQ15" s="225"/>
      <c r="BR15" s="225"/>
      <c r="BS15" s="225"/>
      <c r="BT15" s="225"/>
      <c r="BU15" s="225"/>
    </row>
    <row r="16" spans="2:73" s="74" customFormat="1" ht="50.1" customHeight="1" x14ac:dyDescent="0.25">
      <c r="B16" s="98">
        <v>12</v>
      </c>
      <c r="C16" s="75" t="str">
        <f>Peserta_Didik!D14</f>
        <v>1314.10.118</v>
      </c>
      <c r="D16" s="99" t="str">
        <f>Peserta_Didik!C14</f>
        <v>Gita Cahya Aulia</v>
      </c>
      <c r="E16" s="225"/>
      <c r="F16" s="225"/>
      <c r="G16" s="225"/>
      <c r="H16" s="225"/>
      <c r="I16" s="225"/>
      <c r="J16" s="225"/>
      <c r="K16" s="225"/>
      <c r="L16" s="225"/>
      <c r="M16" s="225"/>
      <c r="N16" s="225"/>
      <c r="O16" s="225"/>
      <c r="P16" s="225"/>
      <c r="Q16" s="225"/>
      <c r="R16" s="225"/>
      <c r="S16" s="225"/>
      <c r="T16" s="225"/>
      <c r="U16" s="225"/>
      <c r="V16" s="225"/>
      <c r="W16" s="225"/>
      <c r="X16" s="225"/>
      <c r="Y16" s="225"/>
      <c r="Z16" s="225"/>
      <c r="AA16" s="225"/>
      <c r="AB16" s="225"/>
      <c r="AC16" s="225"/>
      <c r="AD16" s="225"/>
      <c r="AE16" s="225"/>
      <c r="AF16" s="225"/>
      <c r="AG16" s="225"/>
      <c r="AH16" s="225"/>
      <c r="AI16" s="225"/>
      <c r="AJ16" s="225"/>
      <c r="AK16" s="225"/>
      <c r="AL16" s="225"/>
      <c r="AM16" s="225"/>
      <c r="AN16" s="225"/>
      <c r="AO16" s="225"/>
      <c r="AP16" s="225"/>
      <c r="AQ16" s="225"/>
      <c r="AR16" s="225"/>
      <c r="AS16" s="225"/>
      <c r="AT16" s="225"/>
      <c r="AU16" s="225"/>
      <c r="AV16" s="225"/>
      <c r="AW16" s="225"/>
      <c r="AX16" s="225"/>
      <c r="AY16" s="225"/>
      <c r="AZ16" s="225"/>
      <c r="BA16" s="225"/>
      <c r="BB16" s="225"/>
      <c r="BC16" s="225"/>
      <c r="BD16" s="225"/>
      <c r="BE16" s="225"/>
      <c r="BF16" s="225"/>
      <c r="BG16" s="225"/>
      <c r="BH16" s="225"/>
      <c r="BI16" s="225"/>
      <c r="BJ16" s="225"/>
      <c r="BK16" s="225"/>
      <c r="BL16" s="225"/>
      <c r="BM16" s="225"/>
      <c r="BN16" s="225"/>
      <c r="BO16" s="225"/>
      <c r="BP16" s="225"/>
      <c r="BQ16" s="225"/>
      <c r="BR16" s="225"/>
      <c r="BS16" s="225"/>
      <c r="BT16" s="225"/>
      <c r="BU16" s="225"/>
    </row>
    <row r="17" spans="2:73" s="74" customFormat="1" ht="50.1" customHeight="1" x14ac:dyDescent="0.25">
      <c r="B17" s="98">
        <v>13</v>
      </c>
      <c r="C17" s="75" t="str">
        <f>Peserta_Didik!D15</f>
        <v>1314.10.119</v>
      </c>
      <c r="D17" s="99" t="str">
        <f>Peserta_Didik!C15</f>
        <v>Hamim Yusuf</v>
      </c>
      <c r="E17" s="225"/>
      <c r="F17" s="225"/>
      <c r="G17" s="225"/>
      <c r="H17" s="225"/>
      <c r="I17" s="225"/>
      <c r="J17" s="225"/>
      <c r="K17" s="225"/>
      <c r="L17" s="225"/>
      <c r="M17" s="225"/>
      <c r="N17" s="225"/>
      <c r="O17" s="225"/>
      <c r="P17" s="225"/>
      <c r="Q17" s="225"/>
      <c r="R17" s="225"/>
      <c r="S17" s="225"/>
      <c r="T17" s="225"/>
      <c r="U17" s="225"/>
      <c r="V17" s="225"/>
      <c r="W17" s="225"/>
      <c r="X17" s="225"/>
      <c r="Y17" s="225"/>
      <c r="Z17" s="225"/>
      <c r="AA17" s="225"/>
      <c r="AB17" s="225"/>
      <c r="AC17" s="225"/>
      <c r="AD17" s="225"/>
      <c r="AE17" s="225"/>
      <c r="AF17" s="225"/>
      <c r="AG17" s="225"/>
      <c r="AH17" s="225"/>
      <c r="AI17" s="225"/>
      <c r="AJ17" s="225"/>
      <c r="AK17" s="225"/>
      <c r="AL17" s="225"/>
      <c r="AM17" s="225"/>
      <c r="AN17" s="225"/>
      <c r="AO17" s="225"/>
      <c r="AP17" s="225"/>
      <c r="AQ17" s="225"/>
      <c r="AR17" s="225"/>
      <c r="AS17" s="225"/>
      <c r="AT17" s="225"/>
      <c r="AU17" s="225"/>
      <c r="AV17" s="225"/>
      <c r="AW17" s="225"/>
      <c r="AX17" s="225"/>
      <c r="AY17" s="225"/>
      <c r="AZ17" s="225"/>
      <c r="BA17" s="225"/>
      <c r="BB17" s="225"/>
      <c r="BC17" s="225"/>
      <c r="BD17" s="225"/>
      <c r="BE17" s="225"/>
      <c r="BF17" s="225"/>
      <c r="BG17" s="225"/>
      <c r="BH17" s="225"/>
      <c r="BI17" s="225"/>
      <c r="BJ17" s="225"/>
      <c r="BK17" s="225"/>
      <c r="BL17" s="225"/>
      <c r="BM17" s="225"/>
      <c r="BN17" s="225"/>
      <c r="BO17" s="225"/>
      <c r="BP17" s="225"/>
      <c r="BQ17" s="225"/>
      <c r="BR17" s="225"/>
      <c r="BS17" s="225"/>
      <c r="BT17" s="225"/>
      <c r="BU17" s="225"/>
    </row>
    <row r="18" spans="2:73" s="74" customFormat="1" ht="50.1" customHeight="1" x14ac:dyDescent="0.25">
      <c r="B18" s="98">
        <v>14</v>
      </c>
      <c r="C18" s="75" t="str">
        <f>Peserta_Didik!D16</f>
        <v>1314.10.120</v>
      </c>
      <c r="D18" s="99" t="str">
        <f>Peserta_Didik!C16</f>
        <v>Hamzah Ashari</v>
      </c>
      <c r="E18" s="225"/>
      <c r="F18" s="225"/>
      <c r="G18" s="225"/>
      <c r="H18" s="225"/>
      <c r="I18" s="225"/>
      <c r="J18" s="225"/>
      <c r="K18" s="225"/>
      <c r="L18" s="225"/>
      <c r="M18" s="225"/>
      <c r="N18" s="225"/>
      <c r="O18" s="225"/>
      <c r="P18" s="225"/>
      <c r="Q18" s="225"/>
      <c r="R18" s="225"/>
      <c r="S18" s="225"/>
      <c r="T18" s="225"/>
      <c r="U18" s="225"/>
      <c r="V18" s="225"/>
      <c r="W18" s="225"/>
      <c r="X18" s="225"/>
      <c r="Y18" s="225"/>
      <c r="Z18" s="225"/>
      <c r="AA18" s="225"/>
      <c r="AB18" s="225"/>
      <c r="AC18" s="225"/>
      <c r="AD18" s="225"/>
      <c r="AE18" s="225"/>
      <c r="AF18" s="225"/>
      <c r="AG18" s="225"/>
      <c r="AH18" s="225"/>
      <c r="AI18" s="225"/>
      <c r="AJ18" s="225"/>
      <c r="AK18" s="225"/>
      <c r="AL18" s="225"/>
      <c r="AM18" s="225"/>
      <c r="AN18" s="225"/>
      <c r="AO18" s="225"/>
      <c r="AP18" s="225"/>
      <c r="AQ18" s="225"/>
      <c r="AR18" s="225"/>
      <c r="AS18" s="225"/>
      <c r="AT18" s="225"/>
      <c r="AU18" s="225"/>
      <c r="AV18" s="225"/>
      <c r="AW18" s="225"/>
      <c r="AX18" s="225"/>
      <c r="AY18" s="225"/>
      <c r="AZ18" s="225"/>
      <c r="BA18" s="225"/>
      <c r="BB18" s="225"/>
      <c r="BC18" s="225"/>
      <c r="BD18" s="225"/>
      <c r="BE18" s="225"/>
      <c r="BF18" s="225"/>
      <c r="BG18" s="225"/>
      <c r="BH18" s="225"/>
      <c r="BI18" s="225"/>
      <c r="BJ18" s="225"/>
      <c r="BK18" s="225"/>
      <c r="BL18" s="225"/>
      <c r="BM18" s="225"/>
      <c r="BN18" s="225"/>
      <c r="BO18" s="225"/>
      <c r="BP18" s="225"/>
      <c r="BQ18" s="225"/>
      <c r="BR18" s="225"/>
      <c r="BS18" s="225"/>
      <c r="BT18" s="225"/>
      <c r="BU18" s="225"/>
    </row>
    <row r="19" spans="2:73" s="74" customFormat="1" ht="50.1" customHeight="1" x14ac:dyDescent="0.25">
      <c r="B19" s="98">
        <v>15</v>
      </c>
      <c r="C19" s="75" t="str">
        <f>Peserta_Didik!D17</f>
        <v>1314.10.121</v>
      </c>
      <c r="D19" s="99" t="str">
        <f>Peserta_Didik!C17</f>
        <v>Harry Sandi</v>
      </c>
      <c r="E19" s="225"/>
      <c r="F19" s="225"/>
      <c r="G19" s="225"/>
      <c r="H19" s="225"/>
      <c r="I19" s="225"/>
      <c r="J19" s="225"/>
      <c r="K19" s="225"/>
      <c r="L19" s="225"/>
      <c r="M19" s="225"/>
      <c r="N19" s="225"/>
      <c r="O19" s="225"/>
      <c r="P19" s="225"/>
      <c r="Q19" s="225"/>
      <c r="R19" s="225"/>
      <c r="S19" s="225"/>
      <c r="T19" s="225"/>
      <c r="U19" s="225"/>
      <c r="V19" s="225"/>
      <c r="W19" s="225"/>
      <c r="X19" s="225"/>
      <c r="Y19" s="225"/>
      <c r="Z19" s="225"/>
      <c r="AA19" s="225"/>
      <c r="AB19" s="225"/>
      <c r="AC19" s="225"/>
      <c r="AD19" s="225"/>
      <c r="AE19" s="225"/>
      <c r="AF19" s="225"/>
      <c r="AG19" s="225"/>
      <c r="AH19" s="225"/>
      <c r="AI19" s="225"/>
      <c r="AJ19" s="225"/>
      <c r="AK19" s="225"/>
      <c r="AL19" s="225"/>
      <c r="AM19" s="225"/>
      <c r="AN19" s="225"/>
      <c r="AO19" s="225"/>
      <c r="AP19" s="225"/>
      <c r="AQ19" s="225"/>
      <c r="AR19" s="225"/>
      <c r="AS19" s="225"/>
      <c r="AT19" s="225"/>
      <c r="AU19" s="225"/>
      <c r="AV19" s="225"/>
      <c r="AW19" s="225"/>
      <c r="AX19" s="225"/>
      <c r="AY19" s="225"/>
      <c r="AZ19" s="225"/>
      <c r="BA19" s="225"/>
      <c r="BB19" s="225"/>
      <c r="BC19" s="225"/>
      <c r="BD19" s="225"/>
      <c r="BE19" s="225"/>
      <c r="BF19" s="225"/>
      <c r="BG19" s="225"/>
      <c r="BH19" s="225"/>
      <c r="BI19" s="225"/>
      <c r="BJ19" s="225"/>
      <c r="BK19" s="225"/>
      <c r="BL19" s="225"/>
      <c r="BM19" s="225"/>
      <c r="BN19" s="225"/>
      <c r="BO19" s="225"/>
      <c r="BP19" s="225"/>
      <c r="BQ19" s="225"/>
      <c r="BR19" s="225"/>
      <c r="BS19" s="225"/>
      <c r="BT19" s="225"/>
      <c r="BU19" s="225"/>
    </row>
    <row r="20" spans="2:73" s="74" customFormat="1" ht="50.1" customHeight="1" x14ac:dyDescent="0.25">
      <c r="B20" s="98">
        <v>16</v>
      </c>
      <c r="C20" s="75" t="str">
        <f>Peserta_Didik!D18</f>
        <v>1314.10.122</v>
      </c>
      <c r="D20" s="99" t="str">
        <f>Peserta_Didik!C18</f>
        <v>Hilman Fajri Fahriansyah</v>
      </c>
      <c r="E20" s="225"/>
      <c r="F20" s="225"/>
      <c r="G20" s="225"/>
      <c r="H20" s="225"/>
      <c r="I20" s="225"/>
      <c r="J20" s="225"/>
      <c r="K20" s="225"/>
      <c r="L20" s="225"/>
      <c r="M20" s="225"/>
      <c r="N20" s="225"/>
      <c r="O20" s="225"/>
      <c r="P20" s="225"/>
      <c r="Q20" s="225"/>
      <c r="R20" s="225"/>
      <c r="S20" s="225"/>
      <c r="T20" s="225"/>
      <c r="U20" s="225"/>
      <c r="V20" s="225"/>
      <c r="W20" s="225"/>
      <c r="X20" s="225"/>
      <c r="Y20" s="225"/>
      <c r="Z20" s="225"/>
      <c r="AA20" s="225"/>
      <c r="AB20" s="225"/>
      <c r="AC20" s="225"/>
      <c r="AD20" s="225"/>
      <c r="AE20" s="225"/>
      <c r="AF20" s="225"/>
      <c r="AG20" s="225"/>
      <c r="AH20" s="225"/>
      <c r="AI20" s="225"/>
      <c r="AJ20" s="225"/>
      <c r="AK20" s="225"/>
      <c r="AL20" s="225"/>
      <c r="AM20" s="225"/>
      <c r="AN20" s="225"/>
      <c r="AO20" s="225"/>
      <c r="AP20" s="225"/>
      <c r="AQ20" s="225"/>
      <c r="AR20" s="225"/>
      <c r="AS20" s="225"/>
      <c r="AT20" s="225"/>
      <c r="AU20" s="225"/>
      <c r="AV20" s="225"/>
      <c r="AW20" s="225"/>
      <c r="AX20" s="225"/>
      <c r="AY20" s="225"/>
      <c r="AZ20" s="225"/>
      <c r="BA20" s="225"/>
      <c r="BB20" s="225"/>
      <c r="BC20" s="225"/>
      <c r="BD20" s="225"/>
      <c r="BE20" s="225"/>
      <c r="BF20" s="225"/>
      <c r="BG20" s="225"/>
      <c r="BH20" s="225"/>
      <c r="BI20" s="225"/>
      <c r="BJ20" s="225"/>
      <c r="BK20" s="225"/>
      <c r="BL20" s="225"/>
      <c r="BM20" s="225"/>
      <c r="BN20" s="225"/>
      <c r="BO20" s="225"/>
      <c r="BP20" s="225"/>
      <c r="BQ20" s="225"/>
      <c r="BR20" s="225"/>
      <c r="BS20" s="225"/>
      <c r="BT20" s="225"/>
      <c r="BU20" s="225"/>
    </row>
    <row r="21" spans="2:73" s="74" customFormat="1" ht="50.1" customHeight="1" x14ac:dyDescent="0.25">
      <c r="B21" s="98">
        <v>17</v>
      </c>
      <c r="C21" s="75" t="str">
        <f>Peserta_Didik!D19</f>
        <v>1314.10.123</v>
      </c>
      <c r="D21" s="99" t="str">
        <f>Peserta_Didik!C19</f>
        <v>Ilham Sidiq</v>
      </c>
      <c r="E21" s="225"/>
      <c r="F21" s="225"/>
      <c r="G21" s="225"/>
      <c r="H21" s="225"/>
      <c r="I21" s="225"/>
      <c r="J21" s="225"/>
      <c r="K21" s="225"/>
      <c r="L21" s="225"/>
      <c r="M21" s="225"/>
      <c r="N21" s="225"/>
      <c r="O21" s="225"/>
      <c r="P21" s="225"/>
      <c r="Q21" s="225"/>
      <c r="R21" s="225"/>
      <c r="S21" s="225"/>
      <c r="T21" s="225"/>
      <c r="U21" s="225"/>
      <c r="V21" s="225"/>
      <c r="W21" s="225"/>
      <c r="X21" s="225"/>
      <c r="Y21" s="225"/>
      <c r="Z21" s="225"/>
      <c r="AA21" s="225"/>
      <c r="AB21" s="225"/>
      <c r="AC21" s="225"/>
      <c r="AD21" s="225"/>
      <c r="AE21" s="225"/>
      <c r="AF21" s="225"/>
      <c r="AG21" s="225"/>
      <c r="AH21" s="225"/>
      <c r="AI21" s="225"/>
      <c r="AJ21" s="225"/>
      <c r="AK21" s="225"/>
      <c r="AL21" s="225"/>
      <c r="AM21" s="225"/>
      <c r="AN21" s="225"/>
      <c r="AO21" s="225"/>
      <c r="AP21" s="225"/>
      <c r="AQ21" s="225"/>
      <c r="AR21" s="225"/>
      <c r="AS21" s="225"/>
      <c r="AT21" s="225"/>
      <c r="AU21" s="225"/>
      <c r="AV21" s="225"/>
      <c r="AW21" s="225"/>
      <c r="AX21" s="225"/>
      <c r="AY21" s="225"/>
      <c r="AZ21" s="225"/>
      <c r="BA21" s="225"/>
      <c r="BB21" s="225"/>
      <c r="BC21" s="225"/>
      <c r="BD21" s="225"/>
      <c r="BE21" s="225"/>
      <c r="BF21" s="225"/>
      <c r="BG21" s="225"/>
      <c r="BH21" s="225"/>
      <c r="BI21" s="225"/>
      <c r="BJ21" s="225"/>
      <c r="BK21" s="225"/>
      <c r="BL21" s="225"/>
      <c r="BM21" s="225"/>
      <c r="BN21" s="225"/>
      <c r="BO21" s="225"/>
      <c r="BP21" s="225"/>
      <c r="BQ21" s="225"/>
      <c r="BR21" s="225"/>
      <c r="BS21" s="225"/>
      <c r="BT21" s="225"/>
      <c r="BU21" s="225"/>
    </row>
    <row r="22" spans="2:73" s="74" customFormat="1" ht="50.1" customHeight="1" x14ac:dyDescent="0.25">
      <c r="B22" s="98">
        <v>18</v>
      </c>
      <c r="C22" s="75" t="str">
        <f>Peserta_Didik!D20</f>
        <v>1314.10.124</v>
      </c>
      <c r="D22" s="99" t="str">
        <f>Peserta_Didik!C20</f>
        <v>Irfan Ahmad Fadhil</v>
      </c>
      <c r="E22" s="225"/>
      <c r="F22" s="225"/>
      <c r="G22" s="225"/>
      <c r="H22" s="225"/>
      <c r="I22" s="225"/>
      <c r="J22" s="225"/>
      <c r="K22" s="225"/>
      <c r="L22" s="225"/>
      <c r="M22" s="225"/>
      <c r="N22" s="225"/>
      <c r="O22" s="225"/>
      <c r="P22" s="225"/>
      <c r="Q22" s="225"/>
      <c r="R22" s="225"/>
      <c r="S22" s="225"/>
      <c r="T22" s="225"/>
      <c r="U22" s="225"/>
      <c r="V22" s="225"/>
      <c r="W22" s="225"/>
      <c r="X22" s="225"/>
      <c r="Y22" s="225"/>
      <c r="Z22" s="225"/>
      <c r="AA22" s="225"/>
      <c r="AB22" s="225"/>
      <c r="AC22" s="225"/>
      <c r="AD22" s="225"/>
      <c r="AE22" s="225"/>
      <c r="AF22" s="225"/>
      <c r="AG22" s="225"/>
      <c r="AH22" s="225"/>
      <c r="AI22" s="225"/>
      <c r="AJ22" s="225"/>
      <c r="AK22" s="225"/>
      <c r="AL22" s="225"/>
      <c r="AM22" s="225"/>
      <c r="AN22" s="225"/>
      <c r="AO22" s="225"/>
      <c r="AP22" s="225"/>
      <c r="AQ22" s="225"/>
      <c r="AR22" s="225"/>
      <c r="AS22" s="225"/>
      <c r="AT22" s="225"/>
      <c r="AU22" s="225"/>
      <c r="AV22" s="225"/>
      <c r="AW22" s="225"/>
      <c r="AX22" s="225"/>
      <c r="AY22" s="225"/>
      <c r="AZ22" s="225"/>
      <c r="BA22" s="225"/>
      <c r="BB22" s="225"/>
      <c r="BC22" s="225"/>
      <c r="BD22" s="225"/>
      <c r="BE22" s="225"/>
      <c r="BF22" s="225"/>
      <c r="BG22" s="225"/>
      <c r="BH22" s="225"/>
      <c r="BI22" s="225"/>
      <c r="BJ22" s="225"/>
      <c r="BK22" s="225"/>
      <c r="BL22" s="225"/>
      <c r="BM22" s="225"/>
      <c r="BN22" s="225"/>
      <c r="BO22" s="225"/>
      <c r="BP22" s="225"/>
      <c r="BQ22" s="225"/>
      <c r="BR22" s="225"/>
      <c r="BS22" s="225"/>
      <c r="BT22" s="225"/>
      <c r="BU22" s="225"/>
    </row>
    <row r="23" spans="2:73" s="74" customFormat="1" ht="50.1" customHeight="1" x14ac:dyDescent="0.25">
      <c r="B23" s="98">
        <v>19</v>
      </c>
      <c r="C23" s="75" t="str">
        <f>Peserta_Didik!D21</f>
        <v>1314.10.125</v>
      </c>
      <c r="D23" s="99" t="str">
        <f>Peserta_Didik!C21</f>
        <v>Kharismauli Cindi Cenora BR Limbong</v>
      </c>
      <c r="E23" s="225"/>
      <c r="F23" s="225"/>
      <c r="G23" s="225"/>
      <c r="H23" s="225"/>
      <c r="I23" s="225"/>
      <c r="J23" s="225"/>
      <c r="K23" s="225"/>
      <c r="L23" s="225"/>
      <c r="M23" s="225"/>
      <c r="N23" s="225"/>
      <c r="O23" s="225"/>
      <c r="P23" s="225"/>
      <c r="Q23" s="225"/>
      <c r="R23" s="225"/>
      <c r="S23" s="225"/>
      <c r="T23" s="225"/>
      <c r="U23" s="225"/>
      <c r="V23" s="225"/>
      <c r="W23" s="225"/>
      <c r="X23" s="225"/>
      <c r="Y23" s="225"/>
      <c r="Z23" s="225"/>
      <c r="AA23" s="225"/>
      <c r="AB23" s="225"/>
      <c r="AC23" s="225"/>
      <c r="AD23" s="225"/>
      <c r="AE23" s="225"/>
      <c r="AF23" s="225"/>
      <c r="AG23" s="225"/>
      <c r="AH23" s="225"/>
      <c r="AI23" s="225"/>
      <c r="AJ23" s="225"/>
      <c r="AK23" s="225"/>
      <c r="AL23" s="225"/>
      <c r="AM23" s="225"/>
      <c r="AN23" s="225"/>
      <c r="AO23" s="225"/>
      <c r="AP23" s="225"/>
      <c r="AQ23" s="225"/>
      <c r="AR23" s="225"/>
      <c r="AS23" s="225"/>
      <c r="AT23" s="225"/>
      <c r="AU23" s="225"/>
      <c r="AV23" s="225"/>
      <c r="AW23" s="225"/>
      <c r="AX23" s="225"/>
      <c r="AY23" s="225"/>
      <c r="AZ23" s="225"/>
      <c r="BA23" s="225"/>
      <c r="BB23" s="225"/>
      <c r="BC23" s="225"/>
      <c r="BD23" s="225"/>
      <c r="BE23" s="225"/>
      <c r="BF23" s="225"/>
      <c r="BG23" s="225"/>
      <c r="BH23" s="225"/>
      <c r="BI23" s="225"/>
      <c r="BJ23" s="225"/>
      <c r="BK23" s="225"/>
      <c r="BL23" s="225"/>
      <c r="BM23" s="225"/>
      <c r="BN23" s="225"/>
      <c r="BO23" s="225"/>
      <c r="BP23" s="225"/>
      <c r="BQ23" s="225"/>
      <c r="BR23" s="225"/>
      <c r="BS23" s="225"/>
      <c r="BT23" s="225"/>
      <c r="BU23" s="225"/>
    </row>
    <row r="24" spans="2:73" s="74" customFormat="1" ht="50.1" customHeight="1" x14ac:dyDescent="0.25">
      <c r="B24" s="98">
        <v>20</v>
      </c>
      <c r="C24" s="75" t="str">
        <f>Peserta_Didik!D22</f>
        <v>1314.10.126</v>
      </c>
      <c r="D24" s="99" t="str">
        <f>Peserta_Didik!C22</f>
        <v>Lalan Maulana Yusup</v>
      </c>
      <c r="E24" s="225"/>
      <c r="F24" s="225"/>
      <c r="G24" s="225"/>
      <c r="H24" s="225"/>
      <c r="I24" s="225"/>
      <c r="J24" s="225"/>
      <c r="K24" s="225"/>
      <c r="L24" s="225"/>
      <c r="M24" s="225"/>
      <c r="N24" s="225"/>
      <c r="O24" s="225"/>
      <c r="P24" s="225"/>
      <c r="Q24" s="225"/>
      <c r="R24" s="225"/>
      <c r="S24" s="225"/>
      <c r="T24" s="225"/>
      <c r="U24" s="225"/>
      <c r="V24" s="225"/>
      <c r="W24" s="225"/>
      <c r="X24" s="225"/>
      <c r="Y24" s="225"/>
      <c r="Z24" s="225"/>
      <c r="AA24" s="225"/>
      <c r="AB24" s="225"/>
      <c r="AC24" s="225"/>
      <c r="AD24" s="225"/>
      <c r="AE24" s="225"/>
      <c r="AF24" s="225"/>
      <c r="AG24" s="225"/>
      <c r="AH24" s="225"/>
      <c r="AI24" s="225"/>
      <c r="AJ24" s="225"/>
      <c r="AK24" s="225"/>
      <c r="AL24" s="225"/>
      <c r="AM24" s="225"/>
      <c r="AN24" s="225"/>
      <c r="AO24" s="225"/>
      <c r="AP24" s="225"/>
      <c r="AQ24" s="225"/>
      <c r="AR24" s="225"/>
      <c r="AS24" s="225"/>
      <c r="AT24" s="225"/>
      <c r="AU24" s="225"/>
      <c r="AV24" s="225"/>
      <c r="AW24" s="225"/>
      <c r="AX24" s="225"/>
      <c r="AY24" s="225"/>
      <c r="AZ24" s="225"/>
      <c r="BA24" s="225"/>
      <c r="BB24" s="225"/>
      <c r="BC24" s="225"/>
      <c r="BD24" s="225"/>
      <c r="BE24" s="225"/>
      <c r="BF24" s="225"/>
      <c r="BG24" s="225"/>
      <c r="BH24" s="225"/>
      <c r="BI24" s="225"/>
      <c r="BJ24" s="225"/>
      <c r="BK24" s="225"/>
      <c r="BL24" s="225"/>
      <c r="BM24" s="225"/>
      <c r="BN24" s="225"/>
      <c r="BO24" s="225"/>
      <c r="BP24" s="225"/>
      <c r="BQ24" s="225"/>
      <c r="BR24" s="225"/>
      <c r="BS24" s="225"/>
      <c r="BT24" s="225"/>
      <c r="BU24" s="225"/>
    </row>
    <row r="25" spans="2:73" s="74" customFormat="1" ht="50.1" customHeight="1" x14ac:dyDescent="0.25">
      <c r="B25" s="98">
        <v>21</v>
      </c>
      <c r="C25" s="75" t="str">
        <f>Peserta_Didik!D23</f>
        <v>1314.10.127</v>
      </c>
      <c r="D25" s="99" t="str">
        <f>Peserta_Didik!C23</f>
        <v>Leni Yuniar</v>
      </c>
      <c r="E25" s="225"/>
      <c r="F25" s="225"/>
      <c r="G25" s="225"/>
      <c r="H25" s="225"/>
      <c r="I25" s="225"/>
      <c r="J25" s="225"/>
      <c r="K25" s="225"/>
      <c r="L25" s="225"/>
      <c r="M25" s="225"/>
      <c r="N25" s="225"/>
      <c r="O25" s="225"/>
      <c r="P25" s="225"/>
      <c r="Q25" s="225"/>
      <c r="R25" s="225"/>
      <c r="S25" s="225"/>
      <c r="T25" s="225"/>
      <c r="U25" s="225"/>
      <c r="V25" s="225"/>
      <c r="W25" s="225"/>
      <c r="X25" s="225"/>
      <c r="Y25" s="225"/>
      <c r="Z25" s="225"/>
      <c r="AA25" s="225"/>
      <c r="AB25" s="225"/>
      <c r="AC25" s="225"/>
      <c r="AD25" s="225"/>
      <c r="AE25" s="225"/>
      <c r="AF25" s="225"/>
      <c r="AG25" s="225"/>
      <c r="AH25" s="225"/>
      <c r="AI25" s="225"/>
      <c r="AJ25" s="225"/>
      <c r="AK25" s="225"/>
      <c r="AL25" s="225"/>
      <c r="AM25" s="225"/>
      <c r="AN25" s="225"/>
      <c r="AO25" s="225"/>
      <c r="AP25" s="225"/>
      <c r="AQ25" s="225"/>
      <c r="AR25" s="225"/>
      <c r="AS25" s="225"/>
      <c r="AT25" s="225"/>
      <c r="AU25" s="225"/>
      <c r="AV25" s="225"/>
      <c r="AW25" s="225"/>
      <c r="AX25" s="225"/>
      <c r="AY25" s="225"/>
      <c r="AZ25" s="225"/>
      <c r="BA25" s="225"/>
      <c r="BB25" s="225"/>
      <c r="BC25" s="225"/>
      <c r="BD25" s="225"/>
      <c r="BE25" s="225"/>
      <c r="BF25" s="225"/>
      <c r="BG25" s="225"/>
      <c r="BH25" s="225"/>
      <c r="BI25" s="225"/>
      <c r="BJ25" s="225"/>
      <c r="BK25" s="225"/>
      <c r="BL25" s="225"/>
      <c r="BM25" s="225"/>
      <c r="BN25" s="225"/>
      <c r="BO25" s="225"/>
      <c r="BP25" s="225"/>
      <c r="BQ25" s="225"/>
      <c r="BR25" s="225"/>
      <c r="BS25" s="225"/>
      <c r="BT25" s="225"/>
      <c r="BU25" s="225"/>
    </row>
    <row r="26" spans="2:73" s="74" customFormat="1" ht="50.1" customHeight="1" x14ac:dyDescent="0.25">
      <c r="B26" s="98">
        <v>22</v>
      </c>
      <c r="C26" s="75" t="str">
        <f>Peserta_Didik!D24</f>
        <v>1314.10.128</v>
      </c>
      <c r="D26" s="99" t="str">
        <f>Peserta_Didik!C24</f>
        <v>Mochamad Fanny Luthfiana</v>
      </c>
      <c r="E26" s="225"/>
      <c r="F26" s="225"/>
      <c r="G26" s="225"/>
      <c r="H26" s="225"/>
      <c r="I26" s="225"/>
      <c r="J26" s="225"/>
      <c r="K26" s="225"/>
      <c r="L26" s="225"/>
      <c r="M26" s="225"/>
      <c r="N26" s="225"/>
      <c r="O26" s="225"/>
      <c r="P26" s="225"/>
      <c r="Q26" s="225"/>
      <c r="R26" s="225"/>
      <c r="S26" s="225"/>
      <c r="T26" s="225"/>
      <c r="U26" s="225"/>
      <c r="V26" s="225"/>
      <c r="W26" s="225"/>
      <c r="X26" s="225"/>
      <c r="Y26" s="225"/>
      <c r="Z26" s="225"/>
      <c r="AA26" s="225"/>
      <c r="AB26" s="225"/>
      <c r="AC26" s="225"/>
      <c r="AD26" s="225"/>
      <c r="AE26" s="225"/>
      <c r="AF26" s="225"/>
      <c r="AG26" s="225"/>
      <c r="AH26" s="225"/>
      <c r="AI26" s="225"/>
      <c r="AJ26" s="225"/>
      <c r="AK26" s="225"/>
      <c r="AL26" s="225"/>
      <c r="AM26" s="225"/>
      <c r="AN26" s="225"/>
      <c r="AO26" s="225"/>
      <c r="AP26" s="225"/>
      <c r="AQ26" s="225"/>
      <c r="AR26" s="225"/>
      <c r="AS26" s="225"/>
      <c r="AT26" s="225"/>
      <c r="AU26" s="225"/>
      <c r="AV26" s="225"/>
      <c r="AW26" s="225"/>
      <c r="AX26" s="225"/>
      <c r="AY26" s="225"/>
      <c r="AZ26" s="225"/>
      <c r="BA26" s="225"/>
      <c r="BB26" s="225"/>
      <c r="BC26" s="225"/>
      <c r="BD26" s="225"/>
      <c r="BE26" s="225"/>
      <c r="BF26" s="225"/>
      <c r="BG26" s="225"/>
      <c r="BH26" s="225"/>
      <c r="BI26" s="225"/>
      <c r="BJ26" s="225"/>
      <c r="BK26" s="225"/>
      <c r="BL26" s="225"/>
      <c r="BM26" s="225"/>
      <c r="BN26" s="225"/>
      <c r="BO26" s="225"/>
      <c r="BP26" s="225"/>
      <c r="BQ26" s="225"/>
      <c r="BR26" s="225"/>
      <c r="BS26" s="225"/>
      <c r="BT26" s="225"/>
      <c r="BU26" s="225"/>
    </row>
    <row r="27" spans="2:73" s="74" customFormat="1" ht="50.1" customHeight="1" x14ac:dyDescent="0.25">
      <c r="B27" s="98">
        <v>23</v>
      </c>
      <c r="C27" s="75" t="str">
        <f>Peserta_Didik!D25</f>
        <v>1314.10.129</v>
      </c>
      <c r="D27" s="99" t="str">
        <f>Peserta_Didik!C25</f>
        <v>Mochammad Rofiq Sofyan</v>
      </c>
      <c r="E27" s="225"/>
      <c r="F27" s="225"/>
      <c r="G27" s="225"/>
      <c r="H27" s="225"/>
      <c r="I27" s="225"/>
      <c r="J27" s="225"/>
      <c r="K27" s="225"/>
      <c r="L27" s="225"/>
      <c r="M27" s="225"/>
      <c r="N27" s="225"/>
      <c r="O27" s="225"/>
      <c r="P27" s="225"/>
      <c r="Q27" s="225"/>
      <c r="R27" s="225"/>
      <c r="S27" s="225"/>
      <c r="T27" s="225"/>
      <c r="U27" s="225"/>
      <c r="V27" s="225"/>
      <c r="W27" s="225"/>
      <c r="X27" s="225"/>
      <c r="Y27" s="225"/>
      <c r="Z27" s="225"/>
      <c r="AA27" s="225"/>
      <c r="AB27" s="225"/>
      <c r="AC27" s="225"/>
      <c r="AD27" s="225"/>
      <c r="AE27" s="225"/>
      <c r="AF27" s="225"/>
      <c r="AG27" s="225"/>
      <c r="AH27" s="225"/>
      <c r="AI27" s="225"/>
      <c r="AJ27" s="225"/>
      <c r="AK27" s="225"/>
      <c r="AL27" s="225"/>
      <c r="AM27" s="225"/>
      <c r="AN27" s="225"/>
      <c r="AO27" s="225"/>
      <c r="AP27" s="225"/>
      <c r="AQ27" s="225"/>
      <c r="AR27" s="225"/>
      <c r="AS27" s="225"/>
      <c r="AT27" s="225"/>
      <c r="AU27" s="225"/>
      <c r="AV27" s="225"/>
      <c r="AW27" s="225"/>
      <c r="AX27" s="225"/>
      <c r="AY27" s="225"/>
      <c r="AZ27" s="225"/>
      <c r="BA27" s="225"/>
      <c r="BB27" s="225"/>
      <c r="BC27" s="225"/>
      <c r="BD27" s="225"/>
      <c r="BE27" s="225"/>
      <c r="BF27" s="225"/>
      <c r="BG27" s="225"/>
      <c r="BH27" s="225"/>
      <c r="BI27" s="225"/>
      <c r="BJ27" s="225"/>
      <c r="BK27" s="225"/>
      <c r="BL27" s="225"/>
      <c r="BM27" s="225"/>
      <c r="BN27" s="225"/>
      <c r="BO27" s="225"/>
      <c r="BP27" s="225"/>
      <c r="BQ27" s="225"/>
      <c r="BR27" s="225"/>
      <c r="BS27" s="225"/>
      <c r="BT27" s="225"/>
      <c r="BU27" s="225"/>
    </row>
    <row r="28" spans="2:73" s="74" customFormat="1" ht="50.1" customHeight="1" x14ac:dyDescent="0.25">
      <c r="B28" s="98">
        <v>24</v>
      </c>
      <c r="C28" s="75" t="str">
        <f>Peserta_Didik!D26</f>
        <v>1314.10.130</v>
      </c>
      <c r="D28" s="99" t="str">
        <f>Peserta_Didik!C26</f>
        <v>Muhamad Rifki</v>
      </c>
      <c r="E28" s="225"/>
      <c r="F28" s="225"/>
      <c r="G28" s="225"/>
      <c r="H28" s="225"/>
      <c r="I28" s="225"/>
      <c r="J28" s="225"/>
      <c r="K28" s="225"/>
      <c r="L28" s="225"/>
      <c r="M28" s="225"/>
      <c r="N28" s="225"/>
      <c r="O28" s="225"/>
      <c r="P28" s="225"/>
      <c r="Q28" s="225"/>
      <c r="R28" s="225"/>
      <c r="S28" s="225"/>
      <c r="T28" s="225"/>
      <c r="U28" s="225"/>
      <c r="V28" s="225"/>
      <c r="W28" s="225"/>
      <c r="X28" s="225"/>
      <c r="Y28" s="225"/>
      <c r="Z28" s="225"/>
      <c r="AA28" s="225"/>
      <c r="AB28" s="225"/>
      <c r="AC28" s="225"/>
      <c r="AD28" s="225"/>
      <c r="AE28" s="225"/>
      <c r="AF28" s="225"/>
      <c r="AG28" s="225"/>
      <c r="AH28" s="225"/>
      <c r="AI28" s="225"/>
      <c r="AJ28" s="225"/>
      <c r="AK28" s="225"/>
      <c r="AL28" s="225"/>
      <c r="AM28" s="225"/>
      <c r="AN28" s="225"/>
      <c r="AO28" s="225"/>
      <c r="AP28" s="225"/>
      <c r="AQ28" s="225"/>
      <c r="AR28" s="225"/>
      <c r="AS28" s="225"/>
      <c r="AT28" s="225"/>
      <c r="AU28" s="225"/>
      <c r="AV28" s="225"/>
      <c r="AW28" s="225"/>
      <c r="AX28" s="225"/>
      <c r="AY28" s="225"/>
      <c r="AZ28" s="225"/>
      <c r="BA28" s="225"/>
      <c r="BB28" s="225"/>
      <c r="BC28" s="225"/>
      <c r="BD28" s="225"/>
      <c r="BE28" s="225"/>
      <c r="BF28" s="225"/>
      <c r="BG28" s="225"/>
      <c r="BH28" s="225"/>
      <c r="BI28" s="225"/>
      <c r="BJ28" s="225"/>
      <c r="BK28" s="225"/>
      <c r="BL28" s="225"/>
      <c r="BM28" s="225"/>
      <c r="BN28" s="225"/>
      <c r="BO28" s="225"/>
      <c r="BP28" s="225"/>
      <c r="BQ28" s="225"/>
      <c r="BR28" s="225"/>
      <c r="BS28" s="225"/>
      <c r="BT28" s="225"/>
      <c r="BU28" s="225"/>
    </row>
    <row r="29" spans="2:73" s="74" customFormat="1" ht="50.1" customHeight="1" x14ac:dyDescent="0.25">
      <c r="B29" s="98">
        <v>25</v>
      </c>
      <c r="C29" s="75" t="str">
        <f>Peserta_Didik!D27</f>
        <v>1314.10.131</v>
      </c>
      <c r="D29" s="99" t="str">
        <f>Peserta_Didik!C27</f>
        <v>Muhammad Azka Ramadhan</v>
      </c>
      <c r="E29" s="225"/>
      <c r="F29" s="225"/>
      <c r="G29" s="225"/>
      <c r="H29" s="225"/>
      <c r="I29" s="225"/>
      <c r="J29" s="225"/>
      <c r="K29" s="225"/>
      <c r="L29" s="225"/>
      <c r="M29" s="225"/>
      <c r="N29" s="225"/>
      <c r="O29" s="225"/>
      <c r="P29" s="225"/>
      <c r="Q29" s="225"/>
      <c r="R29" s="225"/>
      <c r="S29" s="225"/>
      <c r="T29" s="225"/>
      <c r="U29" s="225"/>
      <c r="V29" s="225"/>
      <c r="W29" s="225"/>
      <c r="X29" s="225"/>
      <c r="Y29" s="225"/>
      <c r="Z29" s="225"/>
      <c r="AA29" s="225"/>
      <c r="AB29" s="225"/>
      <c r="AC29" s="225"/>
      <c r="AD29" s="225"/>
      <c r="AE29" s="225"/>
      <c r="AF29" s="225"/>
      <c r="AG29" s="225"/>
      <c r="AH29" s="225"/>
      <c r="AI29" s="225"/>
      <c r="AJ29" s="225"/>
      <c r="AK29" s="225"/>
      <c r="AL29" s="225"/>
      <c r="AM29" s="225"/>
      <c r="AN29" s="225"/>
      <c r="AO29" s="225"/>
      <c r="AP29" s="225"/>
      <c r="AQ29" s="225"/>
      <c r="AR29" s="225"/>
      <c r="AS29" s="225"/>
      <c r="AT29" s="225"/>
      <c r="AU29" s="225"/>
      <c r="AV29" s="225"/>
      <c r="AW29" s="225"/>
      <c r="AX29" s="225"/>
      <c r="AY29" s="225"/>
      <c r="AZ29" s="225"/>
      <c r="BA29" s="225"/>
      <c r="BB29" s="225"/>
      <c r="BC29" s="225"/>
      <c r="BD29" s="225"/>
      <c r="BE29" s="225"/>
      <c r="BF29" s="225"/>
      <c r="BG29" s="225"/>
      <c r="BH29" s="225"/>
      <c r="BI29" s="225"/>
      <c r="BJ29" s="225"/>
      <c r="BK29" s="225"/>
      <c r="BL29" s="225"/>
      <c r="BM29" s="225"/>
      <c r="BN29" s="225"/>
      <c r="BO29" s="225"/>
      <c r="BP29" s="225"/>
      <c r="BQ29" s="225"/>
      <c r="BR29" s="225"/>
      <c r="BS29" s="225"/>
      <c r="BT29" s="225"/>
      <c r="BU29" s="225"/>
    </row>
    <row r="30" spans="2:73" s="74" customFormat="1" ht="50.1" customHeight="1" x14ac:dyDescent="0.25">
      <c r="B30" s="98">
        <v>26</v>
      </c>
      <c r="C30" s="75" t="str">
        <f>Peserta_Didik!D28</f>
        <v>1314.10.132</v>
      </c>
      <c r="D30" s="99" t="str">
        <f>Peserta_Didik!C28</f>
        <v>Muhammad Rizky Adrian</v>
      </c>
      <c r="E30" s="225"/>
      <c r="F30" s="225"/>
      <c r="G30" s="225"/>
      <c r="H30" s="225"/>
      <c r="I30" s="225"/>
      <c r="J30" s="225"/>
      <c r="K30" s="225"/>
      <c r="L30" s="225"/>
      <c r="M30" s="225"/>
      <c r="N30" s="225"/>
      <c r="O30" s="225"/>
      <c r="P30" s="225"/>
      <c r="Q30" s="225"/>
      <c r="R30" s="225"/>
      <c r="S30" s="225"/>
      <c r="T30" s="225"/>
      <c r="U30" s="225"/>
      <c r="V30" s="225"/>
      <c r="W30" s="225"/>
      <c r="X30" s="225"/>
      <c r="Y30" s="225"/>
      <c r="Z30" s="225"/>
      <c r="AA30" s="225"/>
      <c r="AB30" s="225"/>
      <c r="AC30" s="225"/>
      <c r="AD30" s="225"/>
      <c r="AE30" s="225"/>
      <c r="AF30" s="225"/>
      <c r="AG30" s="225"/>
      <c r="AH30" s="225"/>
      <c r="AI30" s="225"/>
      <c r="AJ30" s="225"/>
      <c r="AK30" s="225"/>
      <c r="AL30" s="225"/>
      <c r="AM30" s="225"/>
      <c r="AN30" s="225"/>
      <c r="AO30" s="225"/>
      <c r="AP30" s="225"/>
      <c r="AQ30" s="225"/>
      <c r="AR30" s="225"/>
      <c r="AS30" s="225"/>
      <c r="AT30" s="225"/>
      <c r="AU30" s="225"/>
      <c r="AV30" s="225"/>
      <c r="AW30" s="225"/>
      <c r="AX30" s="225"/>
      <c r="AY30" s="225"/>
      <c r="AZ30" s="225"/>
      <c r="BA30" s="225"/>
      <c r="BB30" s="225"/>
      <c r="BC30" s="225"/>
      <c r="BD30" s="225"/>
      <c r="BE30" s="225"/>
      <c r="BF30" s="225"/>
      <c r="BG30" s="225"/>
      <c r="BH30" s="225"/>
      <c r="BI30" s="225"/>
      <c r="BJ30" s="225"/>
      <c r="BK30" s="225"/>
      <c r="BL30" s="225"/>
      <c r="BM30" s="225"/>
      <c r="BN30" s="225"/>
      <c r="BO30" s="225"/>
      <c r="BP30" s="225"/>
      <c r="BQ30" s="225"/>
      <c r="BR30" s="225"/>
      <c r="BS30" s="225"/>
      <c r="BT30" s="225"/>
      <c r="BU30" s="225"/>
    </row>
    <row r="31" spans="2:73" s="74" customFormat="1" ht="50.1" customHeight="1" x14ac:dyDescent="0.25">
      <c r="B31" s="98">
        <v>27</v>
      </c>
      <c r="C31" s="75" t="str">
        <f>Peserta_Didik!D29</f>
        <v>1314.10.133</v>
      </c>
      <c r="D31" s="99" t="str">
        <f>Peserta_Didik!C29</f>
        <v>Muhammad Sakhin Aliyyin</v>
      </c>
      <c r="E31" s="225"/>
      <c r="F31" s="225"/>
      <c r="G31" s="225"/>
      <c r="H31" s="225"/>
      <c r="I31" s="225"/>
      <c r="J31" s="225"/>
      <c r="K31" s="225"/>
      <c r="L31" s="225"/>
      <c r="M31" s="225"/>
      <c r="N31" s="225"/>
      <c r="O31" s="225"/>
      <c r="P31" s="225"/>
      <c r="Q31" s="225"/>
      <c r="R31" s="225"/>
      <c r="S31" s="225"/>
      <c r="T31" s="225"/>
      <c r="U31" s="225"/>
      <c r="V31" s="225"/>
      <c r="W31" s="225"/>
      <c r="X31" s="225"/>
      <c r="Y31" s="225"/>
      <c r="Z31" s="225"/>
      <c r="AA31" s="225"/>
      <c r="AB31" s="225"/>
      <c r="AC31" s="225"/>
      <c r="AD31" s="225"/>
      <c r="AE31" s="225"/>
      <c r="AF31" s="225"/>
      <c r="AG31" s="225"/>
      <c r="AH31" s="225"/>
      <c r="AI31" s="225"/>
      <c r="AJ31" s="225"/>
      <c r="AK31" s="225"/>
      <c r="AL31" s="225"/>
      <c r="AM31" s="225"/>
      <c r="AN31" s="225"/>
      <c r="AO31" s="225"/>
      <c r="AP31" s="225"/>
      <c r="AQ31" s="225"/>
      <c r="AR31" s="225"/>
      <c r="AS31" s="225"/>
      <c r="AT31" s="225"/>
      <c r="AU31" s="225"/>
      <c r="AV31" s="225"/>
      <c r="AW31" s="225"/>
      <c r="AX31" s="225"/>
      <c r="AY31" s="225"/>
      <c r="AZ31" s="225"/>
      <c r="BA31" s="225"/>
      <c r="BB31" s="225"/>
      <c r="BC31" s="225"/>
      <c r="BD31" s="225"/>
      <c r="BE31" s="225"/>
      <c r="BF31" s="225"/>
      <c r="BG31" s="225"/>
      <c r="BH31" s="225"/>
      <c r="BI31" s="225"/>
      <c r="BJ31" s="225"/>
      <c r="BK31" s="225"/>
      <c r="BL31" s="225"/>
      <c r="BM31" s="225"/>
      <c r="BN31" s="225"/>
      <c r="BO31" s="225"/>
      <c r="BP31" s="225"/>
      <c r="BQ31" s="225"/>
      <c r="BR31" s="225"/>
      <c r="BS31" s="225"/>
      <c r="BT31" s="225"/>
      <c r="BU31" s="225"/>
    </row>
    <row r="32" spans="2:73" s="74" customFormat="1" ht="50.1" customHeight="1" x14ac:dyDescent="0.25">
      <c r="B32" s="98">
        <v>28</v>
      </c>
      <c r="C32" s="75" t="str">
        <f>Peserta_Didik!D30</f>
        <v>1314.10.134</v>
      </c>
      <c r="D32" s="99" t="str">
        <f>Peserta_Didik!C30</f>
        <v>Rafly Ramadhan</v>
      </c>
      <c r="E32" s="225"/>
      <c r="F32" s="225"/>
      <c r="G32" s="225"/>
      <c r="H32" s="225"/>
      <c r="I32" s="225"/>
      <c r="J32" s="225"/>
      <c r="K32" s="225"/>
      <c r="L32" s="225"/>
      <c r="M32" s="225"/>
      <c r="N32" s="225"/>
      <c r="O32" s="225"/>
      <c r="P32" s="225"/>
      <c r="Q32" s="225"/>
      <c r="R32" s="225"/>
      <c r="S32" s="225"/>
      <c r="T32" s="225"/>
      <c r="U32" s="225"/>
      <c r="V32" s="225"/>
      <c r="W32" s="225"/>
      <c r="X32" s="225"/>
      <c r="Y32" s="225"/>
      <c r="Z32" s="225"/>
      <c r="AA32" s="225"/>
      <c r="AB32" s="225"/>
      <c r="AC32" s="225"/>
      <c r="AD32" s="225"/>
      <c r="AE32" s="225"/>
      <c r="AF32" s="225"/>
      <c r="AG32" s="225"/>
      <c r="AH32" s="225"/>
      <c r="AI32" s="225"/>
      <c r="AJ32" s="225"/>
      <c r="AK32" s="225"/>
      <c r="AL32" s="225"/>
      <c r="AM32" s="225"/>
      <c r="AN32" s="225"/>
      <c r="AO32" s="225"/>
      <c r="AP32" s="225"/>
      <c r="AQ32" s="225"/>
      <c r="AR32" s="225"/>
      <c r="AS32" s="225"/>
      <c r="AT32" s="225"/>
      <c r="AU32" s="225"/>
      <c r="AV32" s="225"/>
      <c r="AW32" s="225"/>
      <c r="AX32" s="225"/>
      <c r="AY32" s="225"/>
      <c r="AZ32" s="225"/>
      <c r="BA32" s="225"/>
      <c r="BB32" s="225"/>
      <c r="BC32" s="225"/>
      <c r="BD32" s="225"/>
      <c r="BE32" s="225"/>
      <c r="BF32" s="225"/>
      <c r="BG32" s="225"/>
      <c r="BH32" s="225"/>
      <c r="BI32" s="225"/>
      <c r="BJ32" s="225"/>
      <c r="BK32" s="225"/>
      <c r="BL32" s="225"/>
      <c r="BM32" s="225"/>
      <c r="BN32" s="225"/>
      <c r="BO32" s="225"/>
      <c r="BP32" s="225"/>
      <c r="BQ32" s="225"/>
      <c r="BR32" s="225"/>
      <c r="BS32" s="225"/>
      <c r="BT32" s="225"/>
      <c r="BU32" s="225"/>
    </row>
    <row r="33" spans="2:73" s="74" customFormat="1" ht="50.1" customHeight="1" x14ac:dyDescent="0.25">
      <c r="B33" s="98">
        <v>29</v>
      </c>
      <c r="C33" s="75" t="str">
        <f>Peserta_Didik!D31</f>
        <v>1314.10.135</v>
      </c>
      <c r="D33" s="99" t="str">
        <f>Peserta_Didik!C31</f>
        <v>Raka Bagus Hartanto</v>
      </c>
      <c r="E33" s="225"/>
      <c r="F33" s="225"/>
      <c r="G33" s="225"/>
      <c r="H33" s="225"/>
      <c r="I33" s="225"/>
      <c r="J33" s="225"/>
      <c r="K33" s="225"/>
      <c r="L33" s="225"/>
      <c r="M33" s="225"/>
      <c r="N33" s="225"/>
      <c r="O33" s="225"/>
      <c r="P33" s="225"/>
      <c r="Q33" s="225"/>
      <c r="R33" s="225"/>
      <c r="S33" s="225"/>
      <c r="T33" s="225"/>
      <c r="U33" s="225"/>
      <c r="V33" s="225"/>
      <c r="W33" s="225"/>
      <c r="X33" s="225"/>
      <c r="Y33" s="225"/>
      <c r="Z33" s="225"/>
      <c r="AA33" s="225"/>
      <c r="AB33" s="225"/>
      <c r="AC33" s="225"/>
      <c r="AD33" s="225"/>
      <c r="AE33" s="225"/>
      <c r="AF33" s="225"/>
      <c r="AG33" s="225"/>
      <c r="AH33" s="225"/>
      <c r="AI33" s="225"/>
      <c r="AJ33" s="225"/>
      <c r="AK33" s="225"/>
      <c r="AL33" s="225"/>
      <c r="AM33" s="225"/>
      <c r="AN33" s="225"/>
      <c r="AO33" s="225"/>
      <c r="AP33" s="225"/>
      <c r="AQ33" s="225"/>
      <c r="AR33" s="225"/>
      <c r="AS33" s="225"/>
      <c r="AT33" s="225"/>
      <c r="AU33" s="225"/>
      <c r="AV33" s="225"/>
      <c r="AW33" s="225"/>
      <c r="AX33" s="225"/>
      <c r="AY33" s="225"/>
      <c r="AZ33" s="225"/>
      <c r="BA33" s="225"/>
      <c r="BB33" s="225"/>
      <c r="BC33" s="225"/>
      <c r="BD33" s="225"/>
      <c r="BE33" s="225"/>
      <c r="BF33" s="225"/>
      <c r="BG33" s="225"/>
      <c r="BH33" s="225"/>
      <c r="BI33" s="225"/>
      <c r="BJ33" s="225"/>
      <c r="BK33" s="225"/>
      <c r="BL33" s="225"/>
      <c r="BM33" s="225"/>
      <c r="BN33" s="225"/>
      <c r="BO33" s="225"/>
      <c r="BP33" s="225"/>
      <c r="BQ33" s="225"/>
      <c r="BR33" s="225"/>
      <c r="BS33" s="225"/>
      <c r="BT33" s="225"/>
      <c r="BU33" s="225"/>
    </row>
    <row r="34" spans="2:73" s="74" customFormat="1" ht="50.1" customHeight="1" x14ac:dyDescent="0.25">
      <c r="B34" s="98">
        <v>30</v>
      </c>
      <c r="C34" s="75" t="str">
        <f>Peserta_Didik!D32</f>
        <v>1314.10.136</v>
      </c>
      <c r="D34" s="99" t="str">
        <f>Peserta_Didik!C32</f>
        <v>Ramdan Rohadiat</v>
      </c>
      <c r="E34" s="225"/>
      <c r="F34" s="225"/>
      <c r="G34" s="225"/>
      <c r="H34" s="225"/>
      <c r="I34" s="225"/>
      <c r="J34" s="225"/>
      <c r="K34" s="225"/>
      <c r="L34" s="225"/>
      <c r="M34" s="225"/>
      <c r="N34" s="225"/>
      <c r="O34" s="225"/>
      <c r="P34" s="225"/>
      <c r="Q34" s="225"/>
      <c r="R34" s="225"/>
      <c r="S34" s="225"/>
      <c r="T34" s="225"/>
      <c r="U34" s="225"/>
      <c r="V34" s="225"/>
      <c r="W34" s="225"/>
      <c r="X34" s="225"/>
      <c r="Y34" s="225"/>
      <c r="Z34" s="225"/>
      <c r="AA34" s="225"/>
      <c r="AB34" s="225"/>
      <c r="AC34" s="225"/>
      <c r="AD34" s="225"/>
      <c r="AE34" s="225"/>
      <c r="AF34" s="225"/>
      <c r="AG34" s="225"/>
      <c r="AH34" s="225"/>
      <c r="AI34" s="225"/>
      <c r="AJ34" s="225"/>
      <c r="AK34" s="225"/>
      <c r="AL34" s="225"/>
      <c r="AM34" s="225"/>
      <c r="AN34" s="225"/>
      <c r="AO34" s="225"/>
      <c r="AP34" s="225"/>
      <c r="AQ34" s="225"/>
      <c r="AR34" s="225"/>
      <c r="AS34" s="225"/>
      <c r="AT34" s="225"/>
      <c r="AU34" s="225"/>
      <c r="AV34" s="225"/>
      <c r="AW34" s="225"/>
      <c r="AX34" s="225"/>
      <c r="AY34" s="225"/>
      <c r="AZ34" s="225"/>
      <c r="BA34" s="225"/>
      <c r="BB34" s="225"/>
      <c r="BC34" s="225"/>
      <c r="BD34" s="225"/>
      <c r="BE34" s="225"/>
      <c r="BF34" s="225"/>
      <c r="BG34" s="225"/>
      <c r="BH34" s="225"/>
      <c r="BI34" s="225"/>
      <c r="BJ34" s="225"/>
      <c r="BK34" s="225"/>
      <c r="BL34" s="225"/>
      <c r="BM34" s="225"/>
      <c r="BN34" s="225"/>
      <c r="BO34" s="225"/>
      <c r="BP34" s="225"/>
      <c r="BQ34" s="225"/>
      <c r="BR34" s="225"/>
      <c r="BS34" s="225"/>
      <c r="BT34" s="225"/>
      <c r="BU34" s="225"/>
    </row>
    <row r="35" spans="2:73" s="74" customFormat="1" ht="50.1" customHeight="1" x14ac:dyDescent="0.25">
      <c r="B35" s="98">
        <v>31</v>
      </c>
      <c r="C35" s="75" t="str">
        <f>Peserta_Didik!D33</f>
        <v>1314.10.137</v>
      </c>
      <c r="D35" s="99" t="str">
        <f>Peserta_Didik!C33</f>
        <v>Reza Lesmana Budiman</v>
      </c>
      <c r="E35" s="225"/>
      <c r="F35" s="225"/>
      <c r="G35" s="225"/>
      <c r="H35" s="225"/>
      <c r="I35" s="225"/>
      <c r="J35" s="225"/>
      <c r="K35" s="225"/>
      <c r="L35" s="225"/>
      <c r="M35" s="225"/>
      <c r="N35" s="225"/>
      <c r="O35" s="225"/>
      <c r="P35" s="225"/>
      <c r="Q35" s="225"/>
      <c r="R35" s="225"/>
      <c r="S35" s="225"/>
      <c r="T35" s="225"/>
      <c r="U35" s="225"/>
      <c r="V35" s="225"/>
      <c r="W35" s="225"/>
      <c r="X35" s="225"/>
      <c r="Y35" s="225"/>
      <c r="Z35" s="225"/>
      <c r="AA35" s="225"/>
      <c r="AB35" s="225"/>
      <c r="AC35" s="225"/>
      <c r="AD35" s="225"/>
      <c r="AE35" s="225"/>
      <c r="AF35" s="225"/>
      <c r="AG35" s="225"/>
      <c r="AH35" s="225"/>
      <c r="AI35" s="225"/>
      <c r="AJ35" s="225"/>
      <c r="AK35" s="225"/>
      <c r="AL35" s="225"/>
      <c r="AM35" s="225"/>
      <c r="AN35" s="225"/>
      <c r="AO35" s="225"/>
      <c r="AP35" s="225"/>
      <c r="AQ35" s="225"/>
      <c r="AR35" s="225"/>
      <c r="AS35" s="225"/>
      <c r="AT35" s="225"/>
      <c r="AU35" s="225"/>
      <c r="AV35" s="225"/>
      <c r="AW35" s="225"/>
      <c r="AX35" s="225"/>
      <c r="AY35" s="225"/>
      <c r="AZ35" s="225"/>
      <c r="BA35" s="225"/>
      <c r="BB35" s="225"/>
      <c r="BC35" s="225"/>
      <c r="BD35" s="225"/>
      <c r="BE35" s="225"/>
      <c r="BF35" s="225"/>
      <c r="BG35" s="225"/>
      <c r="BH35" s="225"/>
      <c r="BI35" s="225"/>
      <c r="BJ35" s="225"/>
      <c r="BK35" s="225"/>
      <c r="BL35" s="225"/>
      <c r="BM35" s="225"/>
      <c r="BN35" s="225"/>
      <c r="BO35" s="225"/>
      <c r="BP35" s="225"/>
      <c r="BQ35" s="225"/>
      <c r="BR35" s="225"/>
      <c r="BS35" s="225"/>
      <c r="BT35" s="225"/>
      <c r="BU35" s="225"/>
    </row>
    <row r="36" spans="2:73" s="74" customFormat="1" ht="50.1" customHeight="1" x14ac:dyDescent="0.25">
      <c r="B36" s="98">
        <v>32</v>
      </c>
      <c r="C36" s="75" t="str">
        <f>Peserta_Didik!D34</f>
        <v>1314.10.138</v>
      </c>
      <c r="D36" s="99" t="str">
        <f>Peserta_Didik!C34</f>
        <v>Septhi Tsaltsah Rosulani</v>
      </c>
      <c r="E36" s="225"/>
      <c r="F36" s="225"/>
      <c r="G36" s="225"/>
      <c r="H36" s="225"/>
      <c r="I36" s="225"/>
      <c r="J36" s="225"/>
      <c r="K36" s="225"/>
      <c r="L36" s="225"/>
      <c r="M36" s="225"/>
      <c r="N36" s="225"/>
      <c r="O36" s="225"/>
      <c r="P36" s="225"/>
      <c r="Q36" s="225"/>
      <c r="R36" s="225"/>
      <c r="S36" s="225"/>
      <c r="T36" s="225"/>
      <c r="U36" s="225"/>
      <c r="V36" s="225"/>
      <c r="W36" s="225"/>
      <c r="X36" s="225"/>
      <c r="Y36" s="225"/>
      <c r="Z36" s="225"/>
      <c r="AA36" s="225"/>
      <c r="AB36" s="225"/>
      <c r="AC36" s="225"/>
      <c r="AD36" s="225"/>
      <c r="AE36" s="225"/>
      <c r="AF36" s="225"/>
      <c r="AG36" s="225"/>
      <c r="AH36" s="225"/>
      <c r="AI36" s="225"/>
      <c r="AJ36" s="225"/>
      <c r="AK36" s="225"/>
      <c r="AL36" s="225"/>
      <c r="AM36" s="225"/>
      <c r="AN36" s="225"/>
      <c r="AO36" s="225"/>
      <c r="AP36" s="225"/>
      <c r="AQ36" s="225"/>
      <c r="AR36" s="225"/>
      <c r="AS36" s="225"/>
      <c r="AT36" s="225"/>
      <c r="AU36" s="225"/>
      <c r="AV36" s="225"/>
      <c r="AW36" s="225"/>
      <c r="AX36" s="225"/>
      <c r="AY36" s="225"/>
      <c r="AZ36" s="225"/>
      <c r="BA36" s="225"/>
      <c r="BB36" s="225"/>
      <c r="BC36" s="225"/>
      <c r="BD36" s="225"/>
      <c r="BE36" s="225"/>
      <c r="BF36" s="225"/>
      <c r="BG36" s="225"/>
      <c r="BH36" s="225"/>
      <c r="BI36" s="225"/>
      <c r="BJ36" s="225"/>
      <c r="BK36" s="225"/>
      <c r="BL36" s="225"/>
      <c r="BM36" s="225"/>
      <c r="BN36" s="225"/>
      <c r="BO36" s="225"/>
      <c r="BP36" s="225"/>
      <c r="BQ36" s="225"/>
      <c r="BR36" s="225"/>
      <c r="BS36" s="225"/>
      <c r="BT36" s="225"/>
      <c r="BU36" s="225"/>
    </row>
    <row r="37" spans="2:73" s="74" customFormat="1" ht="50.1" customHeight="1" x14ac:dyDescent="0.25">
      <c r="B37" s="98">
        <v>33</v>
      </c>
      <c r="C37" s="75" t="str">
        <f>Peserta_Didik!D35</f>
        <v>1314.10.139</v>
      </c>
      <c r="D37" s="99" t="str">
        <f>Peserta_Didik!C35</f>
        <v>Silmi Farhah Fauziah</v>
      </c>
      <c r="E37" s="225"/>
      <c r="F37" s="225"/>
      <c r="G37" s="225"/>
      <c r="H37" s="225"/>
      <c r="I37" s="225"/>
      <c r="J37" s="225"/>
      <c r="K37" s="225"/>
      <c r="L37" s="225"/>
      <c r="M37" s="225"/>
      <c r="N37" s="225"/>
      <c r="O37" s="225"/>
      <c r="P37" s="225"/>
      <c r="Q37" s="225"/>
      <c r="R37" s="225"/>
      <c r="S37" s="225"/>
      <c r="T37" s="225"/>
      <c r="U37" s="225"/>
      <c r="V37" s="225"/>
      <c r="W37" s="225"/>
      <c r="X37" s="225"/>
      <c r="Y37" s="225"/>
      <c r="Z37" s="225"/>
      <c r="AA37" s="225"/>
      <c r="AB37" s="225"/>
      <c r="AC37" s="225"/>
      <c r="AD37" s="225"/>
      <c r="AE37" s="225"/>
      <c r="AF37" s="225"/>
      <c r="AG37" s="225"/>
      <c r="AH37" s="225"/>
      <c r="AI37" s="225"/>
      <c r="AJ37" s="225"/>
      <c r="AK37" s="225"/>
      <c r="AL37" s="225"/>
      <c r="AM37" s="225"/>
      <c r="AN37" s="225"/>
      <c r="AO37" s="225"/>
      <c r="AP37" s="225"/>
      <c r="AQ37" s="225"/>
      <c r="AR37" s="225"/>
      <c r="AS37" s="225"/>
      <c r="AT37" s="225"/>
      <c r="AU37" s="225"/>
      <c r="AV37" s="225"/>
      <c r="AW37" s="225"/>
      <c r="AX37" s="225"/>
      <c r="AY37" s="225"/>
      <c r="AZ37" s="225"/>
      <c r="BA37" s="225"/>
      <c r="BB37" s="225"/>
      <c r="BC37" s="225"/>
      <c r="BD37" s="225"/>
      <c r="BE37" s="225"/>
      <c r="BF37" s="225"/>
      <c r="BG37" s="225"/>
      <c r="BH37" s="225"/>
      <c r="BI37" s="225"/>
      <c r="BJ37" s="225"/>
      <c r="BK37" s="225"/>
      <c r="BL37" s="225"/>
      <c r="BM37" s="225"/>
      <c r="BN37" s="225"/>
      <c r="BO37" s="225"/>
      <c r="BP37" s="225"/>
      <c r="BQ37" s="225"/>
      <c r="BR37" s="225"/>
      <c r="BS37" s="225"/>
      <c r="BT37" s="225"/>
      <c r="BU37" s="225"/>
    </row>
    <row r="38" spans="2:73" s="74" customFormat="1" ht="50.1" customHeight="1" x14ac:dyDescent="0.25">
      <c r="B38" s="98">
        <v>34</v>
      </c>
      <c r="C38" s="75" t="str">
        <f>Peserta_Didik!D36</f>
        <v>1314.10.140</v>
      </c>
      <c r="D38" s="99" t="str">
        <f>Peserta_Didik!C36</f>
        <v>Syahrul Nizam</v>
      </c>
      <c r="E38" s="225"/>
      <c r="F38" s="225"/>
      <c r="G38" s="225"/>
      <c r="H38" s="225"/>
      <c r="I38" s="225"/>
      <c r="J38" s="225"/>
      <c r="K38" s="225"/>
      <c r="L38" s="225"/>
      <c r="M38" s="225"/>
      <c r="N38" s="225"/>
      <c r="O38" s="225"/>
      <c r="P38" s="225"/>
      <c r="Q38" s="225"/>
      <c r="R38" s="225"/>
      <c r="S38" s="225"/>
      <c r="T38" s="225"/>
      <c r="U38" s="225"/>
      <c r="V38" s="225"/>
      <c r="W38" s="225"/>
      <c r="X38" s="225"/>
      <c r="Y38" s="225"/>
      <c r="Z38" s="225"/>
      <c r="AA38" s="225"/>
      <c r="AB38" s="225"/>
      <c r="AC38" s="225"/>
      <c r="AD38" s="225"/>
      <c r="AE38" s="225"/>
      <c r="AF38" s="225"/>
      <c r="AG38" s="225"/>
      <c r="AH38" s="225"/>
      <c r="AI38" s="225"/>
      <c r="AJ38" s="225"/>
      <c r="AK38" s="225"/>
      <c r="AL38" s="225"/>
      <c r="AM38" s="225"/>
      <c r="AN38" s="225"/>
      <c r="AO38" s="225"/>
      <c r="AP38" s="225"/>
      <c r="AQ38" s="225"/>
      <c r="AR38" s="225"/>
      <c r="AS38" s="225"/>
      <c r="AT38" s="225"/>
      <c r="AU38" s="225"/>
      <c r="AV38" s="225"/>
      <c r="AW38" s="225"/>
      <c r="AX38" s="225"/>
      <c r="AY38" s="225"/>
      <c r="AZ38" s="225"/>
      <c r="BA38" s="225"/>
      <c r="BB38" s="225"/>
      <c r="BC38" s="225"/>
      <c r="BD38" s="225"/>
      <c r="BE38" s="225"/>
      <c r="BF38" s="225"/>
      <c r="BG38" s="225"/>
      <c r="BH38" s="225"/>
      <c r="BI38" s="225"/>
      <c r="BJ38" s="225"/>
      <c r="BK38" s="225"/>
      <c r="BL38" s="225"/>
      <c r="BM38" s="225"/>
      <c r="BN38" s="225"/>
      <c r="BO38" s="225"/>
      <c r="BP38" s="225"/>
      <c r="BQ38" s="225"/>
      <c r="BR38" s="225"/>
      <c r="BS38" s="225"/>
      <c r="BT38" s="225"/>
      <c r="BU38" s="225"/>
    </row>
    <row r="39" spans="2:73" s="74" customFormat="1" ht="50.1" customHeight="1" x14ac:dyDescent="0.25">
      <c r="B39" s="98">
        <v>35</v>
      </c>
      <c r="C39" s="75" t="str">
        <f>Peserta_Didik!D37</f>
        <v>1314.10.141</v>
      </c>
      <c r="D39" s="99" t="str">
        <f>Peserta_Didik!C37</f>
        <v>Teti Hanira</v>
      </c>
      <c r="E39" s="225"/>
      <c r="F39" s="225"/>
      <c r="G39" s="225"/>
      <c r="H39" s="225"/>
      <c r="I39" s="225"/>
      <c r="J39" s="225"/>
      <c r="K39" s="225"/>
      <c r="L39" s="225"/>
      <c r="M39" s="225"/>
      <c r="N39" s="225"/>
      <c r="O39" s="225"/>
      <c r="P39" s="225"/>
      <c r="Q39" s="225"/>
      <c r="R39" s="225"/>
      <c r="S39" s="225"/>
      <c r="T39" s="225"/>
      <c r="U39" s="225"/>
      <c r="V39" s="225"/>
      <c r="W39" s="225"/>
      <c r="X39" s="225"/>
      <c r="Y39" s="225"/>
      <c r="Z39" s="225"/>
      <c r="AA39" s="225"/>
      <c r="AB39" s="225"/>
      <c r="AC39" s="225"/>
      <c r="AD39" s="225"/>
      <c r="AE39" s="225"/>
      <c r="AF39" s="225"/>
      <c r="AG39" s="225"/>
      <c r="AH39" s="225"/>
      <c r="AI39" s="225"/>
      <c r="AJ39" s="225"/>
      <c r="AK39" s="225"/>
      <c r="AL39" s="225"/>
      <c r="AM39" s="225"/>
      <c r="AN39" s="225"/>
      <c r="AO39" s="225"/>
      <c r="AP39" s="225"/>
      <c r="AQ39" s="225"/>
      <c r="AR39" s="225"/>
      <c r="AS39" s="225"/>
      <c r="AT39" s="225"/>
      <c r="AU39" s="225"/>
      <c r="AV39" s="225"/>
      <c r="AW39" s="225"/>
      <c r="AX39" s="225"/>
      <c r="AY39" s="225"/>
      <c r="AZ39" s="225"/>
      <c r="BA39" s="225"/>
      <c r="BB39" s="225"/>
      <c r="BC39" s="225"/>
      <c r="BD39" s="225"/>
      <c r="BE39" s="225"/>
      <c r="BF39" s="225"/>
      <c r="BG39" s="225"/>
      <c r="BH39" s="225"/>
      <c r="BI39" s="225"/>
      <c r="BJ39" s="225"/>
      <c r="BK39" s="225"/>
      <c r="BL39" s="225"/>
      <c r="BM39" s="225"/>
      <c r="BN39" s="225"/>
      <c r="BO39" s="225"/>
      <c r="BP39" s="225"/>
      <c r="BQ39" s="225"/>
      <c r="BR39" s="225"/>
      <c r="BS39" s="225"/>
      <c r="BT39" s="225"/>
      <c r="BU39" s="225"/>
    </row>
    <row r="40" spans="2:73" s="74" customFormat="1" ht="50.1" customHeight="1" x14ac:dyDescent="0.25">
      <c r="B40" s="98">
        <v>36</v>
      </c>
      <c r="C40" s="75" t="str">
        <f>Peserta_Didik!D38</f>
        <v>1314.10.142</v>
      </c>
      <c r="D40" s="99" t="str">
        <f>Peserta_Didik!C38</f>
        <v>Yongki Agustin</v>
      </c>
      <c r="E40" s="225"/>
      <c r="F40" s="225"/>
      <c r="G40" s="225"/>
      <c r="H40" s="225"/>
      <c r="I40" s="225"/>
      <c r="J40" s="225"/>
      <c r="K40" s="225"/>
      <c r="L40" s="225"/>
      <c r="M40" s="225"/>
      <c r="N40" s="225"/>
      <c r="O40" s="225"/>
      <c r="P40" s="225"/>
      <c r="Q40" s="225"/>
      <c r="R40" s="225"/>
      <c r="S40" s="225"/>
      <c r="T40" s="225"/>
      <c r="U40" s="225"/>
      <c r="V40" s="225"/>
      <c r="W40" s="225"/>
      <c r="X40" s="225"/>
      <c r="Y40" s="225"/>
      <c r="Z40" s="225"/>
      <c r="AA40" s="225"/>
      <c r="AB40" s="225"/>
      <c r="AC40" s="225"/>
      <c r="AD40" s="225"/>
      <c r="AE40" s="225"/>
      <c r="AF40" s="225"/>
      <c r="AG40" s="225"/>
      <c r="AH40" s="225"/>
      <c r="AI40" s="225"/>
      <c r="AJ40" s="225"/>
      <c r="AK40" s="225"/>
      <c r="AL40" s="225"/>
      <c r="AM40" s="225"/>
      <c r="AN40" s="225"/>
      <c r="AO40" s="225"/>
      <c r="AP40" s="225"/>
      <c r="AQ40" s="225"/>
      <c r="AR40" s="225"/>
      <c r="AS40" s="225"/>
      <c r="AT40" s="225"/>
      <c r="AU40" s="225"/>
      <c r="AV40" s="225"/>
      <c r="AW40" s="225"/>
      <c r="AX40" s="225"/>
      <c r="AY40" s="225"/>
      <c r="AZ40" s="225"/>
      <c r="BA40" s="225"/>
      <c r="BB40" s="225"/>
      <c r="BC40" s="225"/>
      <c r="BD40" s="225"/>
      <c r="BE40" s="225"/>
      <c r="BF40" s="225"/>
      <c r="BG40" s="225"/>
      <c r="BH40" s="225"/>
      <c r="BI40" s="225"/>
      <c r="BJ40" s="225"/>
      <c r="BK40" s="225"/>
      <c r="BL40" s="225"/>
      <c r="BM40" s="225"/>
      <c r="BN40" s="225"/>
      <c r="BO40" s="225"/>
      <c r="BP40" s="225"/>
      <c r="BQ40" s="225"/>
      <c r="BR40" s="225"/>
      <c r="BS40" s="225"/>
      <c r="BT40" s="225"/>
      <c r="BU40" s="225"/>
    </row>
    <row r="41" spans="2:73" s="74" customFormat="1" ht="50.1" customHeight="1" x14ac:dyDescent="0.25">
      <c r="B41" s="98">
        <v>37</v>
      </c>
      <c r="C41" s="75" t="str">
        <f>Peserta_Didik!D39</f>
        <v>1314.10.143</v>
      </c>
      <c r="D41" s="99" t="str">
        <f>Peserta_Didik!C39</f>
        <v>Yusi Ridwan Firdaus</v>
      </c>
      <c r="E41" s="225"/>
      <c r="F41" s="225"/>
      <c r="G41" s="225"/>
      <c r="H41" s="225"/>
      <c r="I41" s="225"/>
      <c r="J41" s="225"/>
      <c r="K41" s="225"/>
      <c r="L41" s="225"/>
      <c r="M41" s="225"/>
      <c r="N41" s="225"/>
      <c r="O41" s="225"/>
      <c r="P41" s="225"/>
      <c r="Q41" s="225"/>
      <c r="R41" s="225"/>
      <c r="S41" s="225"/>
      <c r="T41" s="225"/>
      <c r="U41" s="225"/>
      <c r="V41" s="225"/>
      <c r="W41" s="225"/>
      <c r="X41" s="225"/>
      <c r="Y41" s="225"/>
      <c r="Z41" s="225"/>
      <c r="AA41" s="225"/>
      <c r="AB41" s="225"/>
      <c r="AC41" s="225"/>
      <c r="AD41" s="225"/>
      <c r="AE41" s="225"/>
      <c r="AF41" s="225"/>
      <c r="AG41" s="225"/>
      <c r="AH41" s="225"/>
      <c r="AI41" s="225"/>
      <c r="AJ41" s="225"/>
      <c r="AK41" s="225"/>
      <c r="AL41" s="225"/>
      <c r="AM41" s="225"/>
      <c r="AN41" s="225"/>
      <c r="AO41" s="225"/>
      <c r="AP41" s="225"/>
      <c r="AQ41" s="225"/>
      <c r="AR41" s="225"/>
      <c r="AS41" s="225"/>
      <c r="AT41" s="225"/>
      <c r="AU41" s="225"/>
      <c r="AV41" s="225"/>
      <c r="AW41" s="225"/>
      <c r="AX41" s="225"/>
      <c r="AY41" s="225"/>
      <c r="AZ41" s="225"/>
      <c r="BA41" s="225"/>
      <c r="BB41" s="225"/>
      <c r="BC41" s="225"/>
      <c r="BD41" s="225"/>
      <c r="BE41" s="225"/>
      <c r="BF41" s="225"/>
      <c r="BG41" s="225"/>
      <c r="BH41" s="225"/>
      <c r="BI41" s="225"/>
      <c r="BJ41" s="225"/>
      <c r="BK41" s="225"/>
      <c r="BL41" s="225"/>
      <c r="BM41" s="225"/>
      <c r="BN41" s="225"/>
      <c r="BO41" s="225"/>
      <c r="BP41" s="225"/>
      <c r="BQ41" s="225"/>
      <c r="BR41" s="225"/>
      <c r="BS41" s="225"/>
      <c r="BT41" s="225"/>
      <c r="BU41" s="225"/>
    </row>
    <row r="42" spans="2:73" s="74" customFormat="1" ht="50.1" customHeight="1" x14ac:dyDescent="0.25">
      <c r="B42" s="98">
        <v>38</v>
      </c>
      <c r="C42" s="75" t="str">
        <f>Peserta_Didik!D40</f>
        <v>1314.10.144</v>
      </c>
      <c r="D42" s="99" t="str">
        <f>Peserta_Didik!C40</f>
        <v>Zineda Zidan</v>
      </c>
      <c r="E42" s="225"/>
      <c r="F42" s="225"/>
      <c r="G42" s="225"/>
      <c r="H42" s="225"/>
      <c r="I42" s="225"/>
      <c r="J42" s="225"/>
      <c r="K42" s="225"/>
      <c r="L42" s="225"/>
      <c r="M42" s="225"/>
      <c r="N42" s="225"/>
      <c r="O42" s="225"/>
      <c r="P42" s="225"/>
      <c r="Q42" s="225"/>
      <c r="R42" s="225"/>
      <c r="S42" s="225"/>
      <c r="T42" s="225"/>
      <c r="U42" s="225"/>
      <c r="V42" s="225"/>
      <c r="W42" s="225"/>
      <c r="X42" s="225"/>
      <c r="Y42" s="225"/>
      <c r="Z42" s="225"/>
      <c r="AA42" s="225"/>
      <c r="AB42" s="225"/>
      <c r="AC42" s="225"/>
      <c r="AD42" s="225"/>
      <c r="AE42" s="225"/>
      <c r="AF42" s="225"/>
      <c r="AG42" s="225"/>
      <c r="AH42" s="225"/>
      <c r="AI42" s="225"/>
      <c r="AJ42" s="225"/>
      <c r="AK42" s="225"/>
      <c r="AL42" s="225"/>
      <c r="AM42" s="225"/>
      <c r="AN42" s="225"/>
      <c r="AO42" s="225"/>
      <c r="AP42" s="225"/>
      <c r="AQ42" s="225"/>
      <c r="AR42" s="225"/>
      <c r="AS42" s="225"/>
      <c r="AT42" s="225"/>
      <c r="AU42" s="225"/>
      <c r="AV42" s="225"/>
      <c r="AW42" s="225"/>
      <c r="AX42" s="225"/>
      <c r="AY42" s="225"/>
      <c r="AZ42" s="225"/>
      <c r="BA42" s="225"/>
      <c r="BB42" s="225"/>
      <c r="BC42" s="225"/>
      <c r="BD42" s="225"/>
      <c r="BE42" s="225"/>
      <c r="BF42" s="225"/>
      <c r="BG42" s="225"/>
      <c r="BH42" s="225"/>
      <c r="BI42" s="225"/>
      <c r="BJ42" s="225"/>
      <c r="BK42" s="225"/>
      <c r="BL42" s="225"/>
      <c r="BM42" s="225"/>
      <c r="BN42" s="225"/>
      <c r="BO42" s="225"/>
      <c r="BP42" s="225"/>
      <c r="BQ42" s="225"/>
      <c r="BR42" s="225"/>
      <c r="BS42" s="225"/>
      <c r="BT42" s="225"/>
      <c r="BU42" s="225"/>
    </row>
    <row r="43" spans="2:73" s="74" customFormat="1" ht="50.1" customHeight="1" x14ac:dyDescent="0.25">
      <c r="B43" s="98">
        <v>39</v>
      </c>
      <c r="C43" s="75">
        <f>Peserta_Didik!D41</f>
        <v>0</v>
      </c>
      <c r="D43" s="99">
        <f>Peserta_Didik!C41</f>
        <v>0</v>
      </c>
      <c r="E43" s="225"/>
      <c r="F43" s="225"/>
      <c r="G43" s="225"/>
      <c r="H43" s="225"/>
      <c r="I43" s="225"/>
      <c r="J43" s="225"/>
      <c r="K43" s="225"/>
      <c r="L43" s="225"/>
      <c r="M43" s="225"/>
      <c r="N43" s="225"/>
      <c r="O43" s="225"/>
      <c r="P43" s="225"/>
      <c r="Q43" s="225"/>
      <c r="R43" s="225"/>
      <c r="S43" s="225"/>
      <c r="T43" s="225"/>
      <c r="U43" s="225"/>
      <c r="V43" s="225"/>
      <c r="W43" s="225"/>
      <c r="X43" s="225"/>
      <c r="Y43" s="225"/>
      <c r="Z43" s="225"/>
      <c r="AA43" s="225"/>
      <c r="AB43" s="225"/>
      <c r="AC43" s="225"/>
      <c r="AD43" s="225"/>
      <c r="AE43" s="225"/>
      <c r="AF43" s="225"/>
      <c r="AG43" s="225"/>
      <c r="AH43" s="225"/>
      <c r="AI43" s="225"/>
      <c r="AJ43" s="225"/>
      <c r="AK43" s="225"/>
      <c r="AL43" s="225"/>
      <c r="AM43" s="225"/>
      <c r="AN43" s="225"/>
      <c r="AO43" s="225"/>
      <c r="AP43" s="225"/>
      <c r="AQ43" s="225"/>
      <c r="AR43" s="225"/>
      <c r="AS43" s="225"/>
      <c r="AT43" s="225"/>
      <c r="AU43" s="225"/>
      <c r="AV43" s="225"/>
      <c r="AW43" s="225"/>
      <c r="AX43" s="225"/>
      <c r="AY43" s="225"/>
      <c r="AZ43" s="225"/>
      <c r="BA43" s="225"/>
      <c r="BB43" s="225"/>
      <c r="BC43" s="225"/>
      <c r="BD43" s="225"/>
      <c r="BE43" s="225"/>
      <c r="BF43" s="225"/>
      <c r="BG43" s="225"/>
      <c r="BH43" s="225"/>
      <c r="BI43" s="225"/>
      <c r="BJ43" s="225"/>
      <c r="BK43" s="225"/>
      <c r="BL43" s="225"/>
      <c r="BM43" s="225"/>
      <c r="BN43" s="225"/>
      <c r="BO43" s="225"/>
      <c r="BP43" s="225"/>
      <c r="BQ43" s="225"/>
      <c r="BR43" s="225"/>
      <c r="BS43" s="225"/>
      <c r="BT43" s="225"/>
      <c r="BU43" s="225"/>
    </row>
    <row r="44" spans="2:73" s="74" customFormat="1" ht="50.1" customHeight="1" x14ac:dyDescent="0.25">
      <c r="B44" s="98">
        <v>40</v>
      </c>
      <c r="C44" s="75">
        <f>Peserta_Didik!D42</f>
        <v>0</v>
      </c>
      <c r="D44" s="99">
        <f>Peserta_Didik!C42</f>
        <v>0</v>
      </c>
      <c r="E44" s="225"/>
      <c r="F44" s="225"/>
      <c r="G44" s="225"/>
      <c r="H44" s="225"/>
      <c r="I44" s="225"/>
      <c r="J44" s="225"/>
      <c r="K44" s="225"/>
      <c r="L44" s="225"/>
      <c r="M44" s="225"/>
      <c r="N44" s="225"/>
      <c r="O44" s="225"/>
      <c r="P44" s="225"/>
      <c r="Q44" s="225"/>
      <c r="R44" s="225"/>
      <c r="S44" s="225"/>
      <c r="T44" s="225"/>
      <c r="U44" s="225"/>
      <c r="V44" s="225"/>
      <c r="W44" s="225"/>
      <c r="X44" s="225"/>
      <c r="Y44" s="225"/>
      <c r="Z44" s="225"/>
      <c r="AA44" s="225"/>
      <c r="AB44" s="225"/>
      <c r="AC44" s="225"/>
      <c r="AD44" s="225"/>
      <c r="AE44" s="225"/>
      <c r="AF44" s="225"/>
      <c r="AG44" s="225"/>
      <c r="AH44" s="225"/>
      <c r="AI44" s="225"/>
      <c r="AJ44" s="225"/>
      <c r="AK44" s="225"/>
      <c r="AL44" s="225"/>
      <c r="AM44" s="225"/>
      <c r="AN44" s="225"/>
      <c r="AO44" s="225"/>
      <c r="AP44" s="225"/>
      <c r="AQ44" s="225"/>
      <c r="AR44" s="225"/>
      <c r="AS44" s="225"/>
      <c r="AT44" s="225"/>
      <c r="AU44" s="225"/>
      <c r="AV44" s="225"/>
      <c r="AW44" s="225"/>
      <c r="AX44" s="225"/>
      <c r="AY44" s="225"/>
      <c r="AZ44" s="225"/>
      <c r="BA44" s="225"/>
      <c r="BB44" s="225"/>
      <c r="BC44" s="225"/>
      <c r="BD44" s="225"/>
      <c r="BE44" s="225"/>
      <c r="BF44" s="225"/>
      <c r="BG44" s="225"/>
      <c r="BH44" s="225"/>
      <c r="BI44" s="225"/>
      <c r="BJ44" s="225"/>
      <c r="BK44" s="225"/>
      <c r="BL44" s="225"/>
      <c r="BM44" s="225"/>
      <c r="BN44" s="225"/>
      <c r="BO44" s="225"/>
      <c r="BP44" s="225"/>
      <c r="BQ44" s="225"/>
      <c r="BR44" s="225"/>
      <c r="BS44" s="225"/>
      <c r="BT44" s="225"/>
      <c r="BU44" s="225"/>
    </row>
    <row r="47" spans="2:73" ht="24.75" customHeight="1" x14ac:dyDescent="0.25">
      <c r="B47" s="399" t="s">
        <v>180</v>
      </c>
      <c r="C47" s="399"/>
      <c r="D47" s="399"/>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row>
  </sheetData>
  <sheetProtection password="CE88" sheet="1" objects="1" scenarios="1" selectLockedCells="1"/>
  <mergeCells count="35">
    <mergeCell ref="AF2:AN2"/>
    <mergeCell ref="AO2:BC2"/>
    <mergeCell ref="BD2:BL2"/>
    <mergeCell ref="BM2:BO2"/>
    <mergeCell ref="T3:V3"/>
    <mergeCell ref="W3:Y3"/>
    <mergeCell ref="Z3:AB3"/>
    <mergeCell ref="E2:V2"/>
    <mergeCell ref="W2:AE2"/>
    <mergeCell ref="BT3:BT4"/>
    <mergeCell ref="BU3:BU4"/>
    <mergeCell ref="AU3:AW3"/>
    <mergeCell ref="AX3:AZ3"/>
    <mergeCell ref="BA3:BC3"/>
    <mergeCell ref="BD3:BF3"/>
    <mergeCell ref="BG3:BI3"/>
    <mergeCell ref="BJ3:BL3"/>
    <mergeCell ref="BP2:BP4"/>
    <mergeCell ref="BQ2:BU2"/>
    <mergeCell ref="B47:D47"/>
    <mergeCell ref="BM3:BO3"/>
    <mergeCell ref="BQ3:BQ4"/>
    <mergeCell ref="BR3:BR4"/>
    <mergeCell ref="BS3:BS4"/>
    <mergeCell ref="AC3:AE3"/>
    <mergeCell ref="AF3:AH3"/>
    <mergeCell ref="AI3:AK3"/>
    <mergeCell ref="AL3:AN3"/>
    <mergeCell ref="AO3:AQ3"/>
    <mergeCell ref="AR3:AT3"/>
    <mergeCell ref="E3:G3"/>
    <mergeCell ref="H3:J3"/>
    <mergeCell ref="K3:M3"/>
    <mergeCell ref="N3:P3"/>
    <mergeCell ref="Q3:S3"/>
  </mergeCells>
  <hyperlinks>
    <hyperlink ref="B47:C47" location="'RK2013'!A1" display="Kembali Ke Halaman Menu Utama"/>
  </hyperlinks>
  <pageMargins left="0.70866141732283472" right="0.70866141732283472" top="0.74803149606299213" bottom="0.74803149606299213" header="0.31496062992125984" footer="0.31496062992125984"/>
  <pageSetup paperSize="5" orientation="landscape"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C000"/>
  </sheetPr>
  <dimension ref="A2:E54"/>
  <sheetViews>
    <sheetView showGridLines="0" showRowColHeaders="0" workbookViewId="0">
      <selection activeCell="L13" sqref="L13"/>
    </sheetView>
  </sheetViews>
  <sheetFormatPr defaultRowHeight="15" x14ac:dyDescent="0.25"/>
  <cols>
    <col min="1" max="1" width="6.5703125" customWidth="1"/>
    <col min="2" max="2" width="24.7109375" customWidth="1"/>
    <col min="3" max="3" width="21.5703125" customWidth="1"/>
    <col min="5" max="5" width="25.7109375" customWidth="1"/>
  </cols>
  <sheetData>
    <row r="2" spans="1:5" ht="18.75" x14ac:dyDescent="0.3">
      <c r="A2" s="547" t="s">
        <v>345</v>
      </c>
      <c r="B2" s="547"/>
      <c r="C2" s="547"/>
      <c r="D2" s="547"/>
      <c r="E2" s="547"/>
    </row>
    <row r="3" spans="1:5" ht="15.75" x14ac:dyDescent="0.25">
      <c r="A3" s="548" t="str">
        <f xml:space="preserve"> "KELAS : "&amp;Informasi_Rapot!C25&amp; ", SEMESTER :  "&amp;Informasi_Rapot!C27</f>
        <v>KELAS : XI TKJ 2, SEMESTER :  2 ( Dua )</v>
      </c>
      <c r="B3" s="548"/>
      <c r="C3" s="548"/>
      <c r="D3" s="548"/>
      <c r="E3" s="548"/>
    </row>
    <row r="4" spans="1:5" ht="15.75" x14ac:dyDescent="0.25">
      <c r="A4" s="548" t="str">
        <f>" TAHUN PELAJARAN "&amp;Informasi_Rapot!C28</f>
        <v xml:space="preserve"> TAHUN PELAJARAN 2014/2015</v>
      </c>
      <c r="B4" s="548"/>
      <c r="C4" s="548"/>
      <c r="D4" s="548"/>
      <c r="E4" s="548"/>
    </row>
    <row r="6" spans="1:5" ht="21.75" customHeight="1" x14ac:dyDescent="0.25">
      <c r="A6" s="365" t="str">
        <f>Peserta_Didik!B2</f>
        <v>NO</v>
      </c>
      <c r="B6" s="365" t="str">
        <f>Peserta_Didik!C2</f>
        <v>NAMA</v>
      </c>
      <c r="C6" s="365" t="s">
        <v>342</v>
      </c>
      <c r="D6" s="365" t="s">
        <v>343</v>
      </c>
      <c r="E6" s="365" t="s">
        <v>344</v>
      </c>
    </row>
    <row r="7" spans="1:5" ht="21.75" customHeight="1" x14ac:dyDescent="0.25">
      <c r="A7" s="361">
        <f>Peserta_Didik!B3</f>
        <v>1</v>
      </c>
      <c r="B7" s="362" t="str">
        <f>Peserta_Didik!C3</f>
        <v>Alfa Andeka Aerlangga</v>
      </c>
      <c r="C7" s="362"/>
      <c r="D7" s="361">
        <f>Capaian1!CU5</f>
        <v>38</v>
      </c>
      <c r="E7" s="363">
        <v>1</v>
      </c>
    </row>
    <row r="8" spans="1:5" ht="21.75" customHeight="1" x14ac:dyDescent="0.25">
      <c r="A8" s="361">
        <f>Peserta_Didik!B4</f>
        <v>2</v>
      </c>
      <c r="B8" s="362" t="str">
        <f>Peserta_Didik!C4</f>
        <v>Andi Setiawan</v>
      </c>
      <c r="C8" s="362"/>
      <c r="D8" s="361">
        <f>Capaian1!CU6</f>
        <v>1</v>
      </c>
      <c r="E8" s="364">
        <v>2</v>
      </c>
    </row>
    <row r="9" spans="1:5" ht="21.75" customHeight="1" x14ac:dyDescent="0.25">
      <c r="A9" s="361">
        <f>Peserta_Didik!B5</f>
        <v>3</v>
      </c>
      <c r="B9" s="362" t="str">
        <f>Peserta_Didik!C5</f>
        <v>Andreas Rizki Rizaldi</v>
      </c>
      <c r="C9" s="362"/>
      <c r="D9" s="361">
        <f>Capaian1!CU7</f>
        <v>3</v>
      </c>
      <c r="E9" s="363">
        <v>3</v>
      </c>
    </row>
    <row r="10" spans="1:5" ht="21.75" customHeight="1" x14ac:dyDescent="0.25">
      <c r="A10" s="361">
        <f>Peserta_Didik!B6</f>
        <v>4</v>
      </c>
      <c r="B10" s="362" t="str">
        <f>Peserta_Didik!C6</f>
        <v>Arif Setya Permana</v>
      </c>
      <c r="C10" s="362"/>
      <c r="D10" s="361">
        <f>Capaian1!CU8</f>
        <v>18</v>
      </c>
      <c r="E10" s="364">
        <v>4</v>
      </c>
    </row>
    <row r="11" spans="1:5" ht="21.75" customHeight="1" x14ac:dyDescent="0.25">
      <c r="A11" s="361">
        <f>Peserta_Didik!B7</f>
        <v>5</v>
      </c>
      <c r="B11" s="362" t="str">
        <f>Peserta_Didik!C7</f>
        <v>Cecep Solehudin</v>
      </c>
      <c r="C11" s="362"/>
      <c r="D11" s="361">
        <f>Capaian1!CU9</f>
        <v>6</v>
      </c>
      <c r="E11" s="363">
        <v>5</v>
      </c>
    </row>
    <row r="12" spans="1:5" ht="21.75" customHeight="1" x14ac:dyDescent="0.25">
      <c r="A12" s="361">
        <f>Peserta_Didik!B8</f>
        <v>6</v>
      </c>
      <c r="B12" s="362" t="str">
        <f>Peserta_Didik!C8</f>
        <v>Cepy Septiahadi</v>
      </c>
      <c r="C12" s="362"/>
      <c r="D12" s="361">
        <f>Capaian1!CU10</f>
        <v>36</v>
      </c>
      <c r="E12" s="364">
        <v>6</v>
      </c>
    </row>
    <row r="13" spans="1:5" ht="21.75" customHeight="1" x14ac:dyDescent="0.25">
      <c r="A13" s="361">
        <f>Peserta_Didik!B9</f>
        <v>7</v>
      </c>
      <c r="B13" s="362" t="str">
        <f>Peserta_Didik!C9</f>
        <v>Chandra Khoerudin</v>
      </c>
      <c r="C13" s="362"/>
      <c r="D13" s="361">
        <f>Capaian1!CU11</f>
        <v>23</v>
      </c>
      <c r="E13" s="363">
        <v>7</v>
      </c>
    </row>
    <row r="14" spans="1:5" ht="21.75" customHeight="1" x14ac:dyDescent="0.25">
      <c r="A14" s="361">
        <f>Peserta_Didik!B10</f>
        <v>8</v>
      </c>
      <c r="B14" s="362" t="str">
        <f>Peserta_Didik!C10</f>
        <v>Chepy Trisnandar</v>
      </c>
      <c r="C14" s="362"/>
      <c r="D14" s="361">
        <f>Capaian1!CU12</f>
        <v>7</v>
      </c>
      <c r="E14" s="364">
        <v>8</v>
      </c>
    </row>
    <row r="15" spans="1:5" ht="21.75" customHeight="1" x14ac:dyDescent="0.25">
      <c r="A15" s="361">
        <f>Peserta_Didik!B11</f>
        <v>9</v>
      </c>
      <c r="B15" s="362" t="str">
        <f>Peserta_Didik!C11</f>
        <v>Dinda Prastiwi</v>
      </c>
      <c r="C15" s="362"/>
      <c r="D15" s="361">
        <f>Capaian1!CU13</f>
        <v>13</v>
      </c>
      <c r="E15" s="363">
        <v>9</v>
      </c>
    </row>
    <row r="16" spans="1:5" ht="21.75" customHeight="1" x14ac:dyDescent="0.25">
      <c r="A16" s="361">
        <f>Peserta_Didik!B12</f>
        <v>10</v>
      </c>
      <c r="B16" s="362" t="str">
        <f>Peserta_Didik!C12</f>
        <v>Dwiki Pratama Suherman</v>
      </c>
      <c r="C16" s="362"/>
      <c r="D16" s="361">
        <f>Capaian1!CU14</f>
        <v>20</v>
      </c>
      <c r="E16" s="364">
        <v>10</v>
      </c>
    </row>
    <row r="17" spans="1:5" ht="21.75" customHeight="1" x14ac:dyDescent="0.25">
      <c r="A17" s="361">
        <f>Peserta_Didik!B13</f>
        <v>11</v>
      </c>
      <c r="B17" s="362" t="str">
        <f>Peserta_Didik!C13</f>
        <v>Erry Nur Azhari</v>
      </c>
      <c r="C17" s="362"/>
      <c r="D17" s="361">
        <f>Capaian1!CU15</f>
        <v>17</v>
      </c>
      <c r="E17" s="363">
        <v>11</v>
      </c>
    </row>
    <row r="18" spans="1:5" ht="21.75" customHeight="1" x14ac:dyDescent="0.25">
      <c r="A18" s="361">
        <f>Peserta_Didik!B14</f>
        <v>12</v>
      </c>
      <c r="B18" s="362" t="str">
        <f>Peserta_Didik!C14</f>
        <v>Gita Cahya Aulia</v>
      </c>
      <c r="C18" s="362"/>
      <c r="D18" s="361">
        <f>Capaian1!CU16</f>
        <v>8</v>
      </c>
      <c r="E18" s="364">
        <v>12</v>
      </c>
    </row>
    <row r="19" spans="1:5" ht="21.75" customHeight="1" x14ac:dyDescent="0.25">
      <c r="A19" s="361">
        <f>Peserta_Didik!B15</f>
        <v>13</v>
      </c>
      <c r="B19" s="362" t="str">
        <f>Peserta_Didik!C15</f>
        <v>Hamim Yusuf</v>
      </c>
      <c r="C19" s="362"/>
      <c r="D19" s="361">
        <f>Capaian1!CU17</f>
        <v>22</v>
      </c>
      <c r="E19" s="363">
        <v>13</v>
      </c>
    </row>
    <row r="20" spans="1:5" ht="21.75" customHeight="1" x14ac:dyDescent="0.25">
      <c r="A20" s="361">
        <f>Peserta_Didik!B16</f>
        <v>14</v>
      </c>
      <c r="B20" s="362" t="str">
        <f>Peserta_Didik!C16</f>
        <v>Hamzah Ashari</v>
      </c>
      <c r="C20" s="362"/>
      <c r="D20" s="361">
        <f>Capaian1!CU18</f>
        <v>25</v>
      </c>
      <c r="E20" s="364">
        <v>14</v>
      </c>
    </row>
    <row r="21" spans="1:5" ht="21.75" customHeight="1" x14ac:dyDescent="0.25">
      <c r="A21" s="361">
        <f>Peserta_Didik!B17</f>
        <v>15</v>
      </c>
      <c r="B21" s="362" t="str">
        <f>Peserta_Didik!C17</f>
        <v>Harry Sandi</v>
      </c>
      <c r="C21" s="362"/>
      <c r="D21" s="361">
        <f>Capaian1!CU19</f>
        <v>4</v>
      </c>
      <c r="E21" s="363">
        <v>15</v>
      </c>
    </row>
    <row r="22" spans="1:5" ht="21.75" customHeight="1" x14ac:dyDescent="0.25">
      <c r="A22" s="361">
        <f>Peserta_Didik!B18</f>
        <v>16</v>
      </c>
      <c r="B22" s="362" t="str">
        <f>Peserta_Didik!C18</f>
        <v>Hilman Fajri Fahriansyah</v>
      </c>
      <c r="C22" s="362"/>
      <c r="D22" s="361">
        <f>Capaian1!CU20</f>
        <v>26</v>
      </c>
      <c r="E22" s="364">
        <v>16</v>
      </c>
    </row>
    <row r="23" spans="1:5" ht="21.75" customHeight="1" x14ac:dyDescent="0.25">
      <c r="A23" s="361">
        <f>Peserta_Didik!B19</f>
        <v>17</v>
      </c>
      <c r="B23" s="362" t="str">
        <f>Peserta_Didik!C19</f>
        <v>Ilham Sidiq</v>
      </c>
      <c r="C23" s="362"/>
      <c r="D23" s="361">
        <f>Capaian1!CU21</f>
        <v>28</v>
      </c>
      <c r="E23" s="363">
        <v>17</v>
      </c>
    </row>
    <row r="24" spans="1:5" ht="21.75" customHeight="1" x14ac:dyDescent="0.25">
      <c r="A24" s="361">
        <f>Peserta_Didik!B20</f>
        <v>18</v>
      </c>
      <c r="B24" s="362" t="str">
        <f>Peserta_Didik!C20</f>
        <v>Irfan Ahmad Fadhil</v>
      </c>
      <c r="C24" s="362"/>
      <c r="D24" s="361">
        <f>Capaian1!CU22</f>
        <v>34</v>
      </c>
      <c r="E24" s="364">
        <v>18</v>
      </c>
    </row>
    <row r="25" spans="1:5" ht="21.75" customHeight="1" x14ac:dyDescent="0.25">
      <c r="A25" s="361">
        <f>Peserta_Didik!B21</f>
        <v>19</v>
      </c>
      <c r="B25" s="362" t="str">
        <f>Peserta_Didik!C21</f>
        <v>Kharismauli Cindi Cenora BR Limbong</v>
      </c>
      <c r="C25" s="362"/>
      <c r="D25" s="361">
        <f>Capaian1!CU23</f>
        <v>35</v>
      </c>
      <c r="E25" s="363">
        <v>19</v>
      </c>
    </row>
    <row r="26" spans="1:5" ht="21.75" customHeight="1" x14ac:dyDescent="0.25">
      <c r="A26" s="361">
        <f>Peserta_Didik!B22</f>
        <v>20</v>
      </c>
      <c r="B26" s="362" t="str">
        <f>Peserta_Didik!C22</f>
        <v>Lalan Maulana Yusup</v>
      </c>
      <c r="C26" s="362"/>
      <c r="D26" s="361">
        <f>Capaian1!CU24</f>
        <v>33</v>
      </c>
      <c r="E26" s="364">
        <v>20</v>
      </c>
    </row>
    <row r="27" spans="1:5" ht="21.75" customHeight="1" x14ac:dyDescent="0.25">
      <c r="A27" s="361">
        <f>Peserta_Didik!B23</f>
        <v>21</v>
      </c>
      <c r="B27" s="362" t="str">
        <f>Peserta_Didik!C23</f>
        <v>Leni Yuniar</v>
      </c>
      <c r="C27" s="362"/>
      <c r="D27" s="361">
        <f>Capaian1!CU25</f>
        <v>24</v>
      </c>
      <c r="E27" s="363">
        <v>21</v>
      </c>
    </row>
    <row r="28" spans="1:5" ht="21.75" customHeight="1" x14ac:dyDescent="0.25">
      <c r="A28" s="361">
        <f>Peserta_Didik!B24</f>
        <v>22</v>
      </c>
      <c r="B28" s="362" t="str">
        <f>Peserta_Didik!C24</f>
        <v>Mochamad Fanny Luthfiana</v>
      </c>
      <c r="C28" s="362"/>
      <c r="D28" s="361">
        <f>Capaian1!CU26</f>
        <v>10</v>
      </c>
      <c r="E28" s="364">
        <v>22</v>
      </c>
    </row>
    <row r="29" spans="1:5" ht="21.75" customHeight="1" x14ac:dyDescent="0.25">
      <c r="A29" s="361">
        <f>Peserta_Didik!B25</f>
        <v>23</v>
      </c>
      <c r="B29" s="362" t="str">
        <f>Peserta_Didik!C25</f>
        <v>Mochammad Rofiq Sofyan</v>
      </c>
      <c r="C29" s="362"/>
      <c r="D29" s="361">
        <f>Capaian1!CU27</f>
        <v>32</v>
      </c>
      <c r="E29" s="363">
        <v>23</v>
      </c>
    </row>
    <row r="30" spans="1:5" ht="21.75" customHeight="1" x14ac:dyDescent="0.25">
      <c r="A30" s="361">
        <f>Peserta_Didik!B26</f>
        <v>24</v>
      </c>
      <c r="B30" s="362" t="str">
        <f>Peserta_Didik!C26</f>
        <v>Muhamad Rifki</v>
      </c>
      <c r="C30" s="362"/>
      <c r="D30" s="361">
        <f>Capaian1!CU28</f>
        <v>15</v>
      </c>
      <c r="E30" s="364">
        <v>24</v>
      </c>
    </row>
    <row r="31" spans="1:5" ht="21.75" customHeight="1" x14ac:dyDescent="0.25">
      <c r="A31" s="361">
        <f>Peserta_Didik!B27</f>
        <v>25</v>
      </c>
      <c r="B31" s="362" t="str">
        <f>Peserta_Didik!C27</f>
        <v>Muhammad Azka Ramadhan</v>
      </c>
      <c r="C31" s="362"/>
      <c r="D31" s="361">
        <f>Capaian1!CU29</f>
        <v>37</v>
      </c>
      <c r="E31" s="363">
        <v>25</v>
      </c>
    </row>
    <row r="32" spans="1:5" ht="21.75" customHeight="1" x14ac:dyDescent="0.25">
      <c r="A32" s="361">
        <f>Peserta_Didik!B28</f>
        <v>26</v>
      </c>
      <c r="B32" s="362" t="str">
        <f>Peserta_Didik!C28</f>
        <v>Muhammad Rizky Adrian</v>
      </c>
      <c r="C32" s="362"/>
      <c r="D32" s="361">
        <f>Capaian1!CU30</f>
        <v>21</v>
      </c>
      <c r="E32" s="364">
        <v>26</v>
      </c>
    </row>
    <row r="33" spans="1:5" ht="21.75" customHeight="1" x14ac:dyDescent="0.25">
      <c r="A33" s="361">
        <f>Peserta_Didik!B29</f>
        <v>27</v>
      </c>
      <c r="B33" s="362" t="str">
        <f>Peserta_Didik!C29</f>
        <v>Muhammad Sakhin Aliyyin</v>
      </c>
      <c r="C33" s="362"/>
      <c r="D33" s="361">
        <f>Capaian1!CU31</f>
        <v>27</v>
      </c>
      <c r="E33" s="363">
        <v>27</v>
      </c>
    </row>
    <row r="34" spans="1:5" ht="21.75" customHeight="1" x14ac:dyDescent="0.25">
      <c r="A34" s="361">
        <f>Peserta_Didik!B30</f>
        <v>28</v>
      </c>
      <c r="B34" s="362" t="str">
        <f>Peserta_Didik!C30</f>
        <v>Rafly Ramadhan</v>
      </c>
      <c r="C34" s="362"/>
      <c r="D34" s="361">
        <f>Capaian1!CU32</f>
        <v>16</v>
      </c>
      <c r="E34" s="364">
        <v>28</v>
      </c>
    </row>
    <row r="35" spans="1:5" ht="21.75" customHeight="1" x14ac:dyDescent="0.25">
      <c r="A35" s="361">
        <f>Peserta_Didik!B31</f>
        <v>29</v>
      </c>
      <c r="B35" s="362" t="str">
        <f>Peserta_Didik!C31</f>
        <v>Raka Bagus Hartanto</v>
      </c>
      <c r="C35" s="362"/>
      <c r="D35" s="361">
        <f>Capaian1!CU33</f>
        <v>31</v>
      </c>
      <c r="E35" s="363">
        <v>29</v>
      </c>
    </row>
    <row r="36" spans="1:5" ht="21.75" customHeight="1" x14ac:dyDescent="0.25">
      <c r="A36" s="361">
        <f>Peserta_Didik!B32</f>
        <v>30</v>
      </c>
      <c r="B36" s="362" t="str">
        <f>Peserta_Didik!C32</f>
        <v>Ramdan Rohadiat</v>
      </c>
      <c r="C36" s="362"/>
      <c r="D36" s="361">
        <f>Capaian1!CU34</f>
        <v>5</v>
      </c>
      <c r="E36" s="364">
        <v>30</v>
      </c>
    </row>
    <row r="37" spans="1:5" ht="21.75" customHeight="1" x14ac:dyDescent="0.25">
      <c r="A37" s="361">
        <f>Peserta_Didik!B33</f>
        <v>31</v>
      </c>
      <c r="B37" s="362" t="str">
        <f>Peserta_Didik!C33</f>
        <v>Reza Lesmana Budiman</v>
      </c>
      <c r="C37" s="362"/>
      <c r="D37" s="361">
        <f>Capaian1!CU35</f>
        <v>29</v>
      </c>
      <c r="E37" s="363">
        <v>31</v>
      </c>
    </row>
    <row r="38" spans="1:5" ht="21.75" customHeight="1" x14ac:dyDescent="0.25">
      <c r="A38" s="361">
        <f>Peserta_Didik!B34</f>
        <v>32</v>
      </c>
      <c r="B38" s="362" t="str">
        <f>Peserta_Didik!C34</f>
        <v>Septhi Tsaltsah Rosulani</v>
      </c>
      <c r="C38" s="362"/>
      <c r="D38" s="361">
        <f>Capaian1!CU36</f>
        <v>14</v>
      </c>
      <c r="E38" s="364">
        <v>32</v>
      </c>
    </row>
    <row r="39" spans="1:5" ht="21.75" customHeight="1" x14ac:dyDescent="0.25">
      <c r="A39" s="361">
        <f>Peserta_Didik!B35</f>
        <v>33</v>
      </c>
      <c r="B39" s="362" t="str">
        <f>Peserta_Didik!C35</f>
        <v>Silmi Farhah Fauziah</v>
      </c>
      <c r="C39" s="362"/>
      <c r="D39" s="361">
        <f>Capaian1!CU37</f>
        <v>2</v>
      </c>
      <c r="E39" s="363">
        <v>33</v>
      </c>
    </row>
    <row r="40" spans="1:5" ht="21.75" customHeight="1" x14ac:dyDescent="0.25">
      <c r="A40" s="361">
        <f>Peserta_Didik!B36</f>
        <v>34</v>
      </c>
      <c r="B40" s="362" t="str">
        <f>Peserta_Didik!C36</f>
        <v>Syahrul Nizam</v>
      </c>
      <c r="C40" s="362"/>
      <c r="D40" s="361">
        <f>Capaian1!CU38</f>
        <v>19</v>
      </c>
      <c r="E40" s="364">
        <v>34</v>
      </c>
    </row>
    <row r="41" spans="1:5" ht="21.75" customHeight="1" x14ac:dyDescent="0.25">
      <c r="A41" s="361">
        <f>Peserta_Didik!B37</f>
        <v>35</v>
      </c>
      <c r="B41" s="362" t="str">
        <f>Peserta_Didik!C37</f>
        <v>Teti Hanira</v>
      </c>
      <c r="C41" s="362"/>
      <c r="D41" s="361">
        <f>Capaian1!CU39</f>
        <v>12</v>
      </c>
      <c r="E41" s="363">
        <v>35</v>
      </c>
    </row>
    <row r="42" spans="1:5" ht="21.75" customHeight="1" x14ac:dyDescent="0.25">
      <c r="A42" s="361">
        <f>Peserta_Didik!B38</f>
        <v>36</v>
      </c>
      <c r="B42" s="362" t="str">
        <f>Peserta_Didik!C38</f>
        <v>Yongki Agustin</v>
      </c>
      <c r="C42" s="362"/>
      <c r="D42" s="361">
        <f>Capaian1!CU40</f>
        <v>11</v>
      </c>
      <c r="E42" s="364">
        <v>36</v>
      </c>
    </row>
    <row r="43" spans="1:5" ht="21.75" customHeight="1" x14ac:dyDescent="0.25">
      <c r="A43" s="361">
        <f>Peserta_Didik!B39</f>
        <v>37</v>
      </c>
      <c r="B43" s="362" t="str">
        <f>Peserta_Didik!C39</f>
        <v>Yusi Ridwan Firdaus</v>
      </c>
      <c r="C43" s="362"/>
      <c r="D43" s="361">
        <f>Capaian1!CU41</f>
        <v>30</v>
      </c>
      <c r="E43" s="363">
        <v>37</v>
      </c>
    </row>
    <row r="44" spans="1:5" ht="21.75" customHeight="1" x14ac:dyDescent="0.25">
      <c r="A44" s="361">
        <f>Peserta_Didik!B40</f>
        <v>38</v>
      </c>
      <c r="B44" s="362" t="str">
        <f>Peserta_Didik!C40</f>
        <v>Zineda Zidan</v>
      </c>
      <c r="C44" s="362"/>
      <c r="D44" s="361">
        <f>Capaian1!CU42</f>
        <v>9</v>
      </c>
      <c r="E44" s="364">
        <v>38</v>
      </c>
    </row>
    <row r="45" spans="1:5" ht="21.75" customHeight="1" x14ac:dyDescent="0.25">
      <c r="A45" s="361">
        <f>Peserta_Didik!B41</f>
        <v>39</v>
      </c>
      <c r="B45" s="362">
        <f>Peserta_Didik!C41</f>
        <v>0</v>
      </c>
      <c r="C45" s="362"/>
      <c r="D45" s="361">
        <f>Capaian1!CU43</f>
        <v>39</v>
      </c>
      <c r="E45" s="363">
        <v>39</v>
      </c>
    </row>
    <row r="46" spans="1:5" ht="21.75" customHeight="1" x14ac:dyDescent="0.25">
      <c r="A46" s="361">
        <f>Peserta_Didik!B42</f>
        <v>40</v>
      </c>
      <c r="B46" s="362">
        <f>Peserta_Didik!C42</f>
        <v>0</v>
      </c>
      <c r="C46" s="362"/>
      <c r="D46" s="361">
        <f>Capaian1!CU44</f>
        <v>39</v>
      </c>
      <c r="E46" s="364">
        <v>40</v>
      </c>
    </row>
    <row r="48" spans="1:5" x14ac:dyDescent="0.25">
      <c r="D48" s="444" t="str">
        <f>Informasi_Rapot!C29</f>
        <v>Baleendah, 20 Juni 2015</v>
      </c>
      <c r="E48" s="444"/>
    </row>
    <row r="49" spans="4:5" x14ac:dyDescent="0.25">
      <c r="D49" s="444" t="s">
        <v>346</v>
      </c>
      <c r="E49" s="444"/>
    </row>
    <row r="53" spans="4:5" x14ac:dyDescent="0.25">
      <c r="D53" s="444" t="str">
        <f>Informasi_Rapot!C22</f>
        <v>Iis Tarliah, S.Pd</v>
      </c>
      <c r="E53" s="444"/>
    </row>
    <row r="54" spans="4:5" x14ac:dyDescent="0.25">
      <c r="D54" s="444" t="str">
        <f>"NIP. "&amp;Informasi_Rapot!C23</f>
        <v>NIP. 196509031991032004</v>
      </c>
      <c r="E54" s="444"/>
    </row>
  </sheetData>
  <mergeCells count="7">
    <mergeCell ref="D54:E54"/>
    <mergeCell ref="A2:E2"/>
    <mergeCell ref="A3:E3"/>
    <mergeCell ref="A4:E4"/>
    <mergeCell ref="D48:E48"/>
    <mergeCell ref="D49:E49"/>
    <mergeCell ref="D53:E53"/>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C3:K43"/>
  <sheetViews>
    <sheetView topLeftCell="A12" workbookViewId="0">
      <selection activeCell="G20" sqref="G20"/>
    </sheetView>
  </sheetViews>
  <sheetFormatPr defaultRowHeight="15" x14ac:dyDescent="0.25"/>
  <cols>
    <col min="3" max="3" width="24.42578125" customWidth="1"/>
    <col min="11" max="11" width="18.140625" customWidth="1"/>
  </cols>
  <sheetData>
    <row r="3" spans="3:11" x14ac:dyDescent="0.25">
      <c r="D3" t="str">
        <f>Capaian1!CY4</f>
        <v>P</v>
      </c>
      <c r="E3" t="str">
        <f>Capaian1!CZ4</f>
        <v>K</v>
      </c>
      <c r="F3" t="str">
        <f>Capaian1!DA4</f>
        <v>Jumlah</v>
      </c>
    </row>
    <row r="4" spans="3:11" x14ac:dyDescent="0.25">
      <c r="C4" t="str">
        <f>Peserta_Didik!C3</f>
        <v>Alfa Andeka Aerlangga</v>
      </c>
      <c r="D4">
        <f>Capaian1!CY5</f>
        <v>55.081914285714277</v>
      </c>
      <c r="E4">
        <f>Capaian1!CZ5</f>
        <v>55.710304761904766</v>
      </c>
      <c r="F4">
        <f>Capaian1!DA5</f>
        <v>110.79221904761904</v>
      </c>
      <c r="G4">
        <f>RANK(F4,$F$4:$F$43)</f>
        <v>38</v>
      </c>
      <c r="J4">
        <f>SMALL($F$4:$F$43,ROW()-3)</f>
        <v>0</v>
      </c>
      <c r="K4">
        <f>IF(J4&lt;&gt;"",VLOOKUP(J4,$C$3:$F$43,1,0))</f>
        <v>0</v>
      </c>
    </row>
    <row r="5" spans="3:11" x14ac:dyDescent="0.25">
      <c r="C5" t="str">
        <f>Peserta_Didik!C4</f>
        <v>Andi Setiawan</v>
      </c>
      <c r="D5">
        <f>Capaian1!CY6</f>
        <v>61.918142857142847</v>
      </c>
      <c r="E5">
        <f>Capaian1!CZ6</f>
        <v>62.009333333333338</v>
      </c>
      <c r="F5">
        <f>Capaian1!DA6</f>
        <v>123.92747619047618</v>
      </c>
      <c r="G5">
        <f t="shared" ref="G5:G43" si="0">RANK(F5,$F$4:$F$43)</f>
        <v>1</v>
      </c>
      <c r="J5">
        <f t="shared" ref="J5:J43" si="1">SMALL($F$4:$F$43,ROW()-3)</f>
        <v>0</v>
      </c>
      <c r="K5">
        <f t="shared" ref="K5:K43" si="2">IF(J5&lt;&gt;"",VLOOKUP(J5,$C$3:$F$43,1,0))</f>
        <v>0</v>
      </c>
    </row>
    <row r="6" spans="3:11" x14ac:dyDescent="0.25">
      <c r="C6" t="str">
        <f>Peserta_Didik!C5</f>
        <v>Andreas Rizki Rizaldi</v>
      </c>
      <c r="D6">
        <f>Capaian1!CY7</f>
        <v>58.630761904761904</v>
      </c>
      <c r="E6">
        <f>Capaian1!CZ7</f>
        <v>59.901276190476196</v>
      </c>
      <c r="F6">
        <f>Capaian1!DA7</f>
        <v>118.53203809523811</v>
      </c>
      <c r="G6">
        <f t="shared" si="0"/>
        <v>3</v>
      </c>
      <c r="J6">
        <f t="shared" si="1"/>
        <v>110.79221904761904</v>
      </c>
      <c r="K6" t="e">
        <f t="shared" si="2"/>
        <v>#N/A</v>
      </c>
    </row>
    <row r="7" spans="3:11" x14ac:dyDescent="0.25">
      <c r="C7" t="str">
        <f>Peserta_Didik!C6</f>
        <v>Arif Setya Permana</v>
      </c>
      <c r="D7">
        <f>Capaian1!CY8</f>
        <v>57.136361904761905</v>
      </c>
      <c r="E7">
        <f>Capaian1!CZ8</f>
        <v>58.117209523809521</v>
      </c>
      <c r="F7">
        <f>Capaian1!DA8</f>
        <v>115.25357142857143</v>
      </c>
      <c r="G7">
        <f t="shared" si="0"/>
        <v>18</v>
      </c>
      <c r="J7">
        <f t="shared" si="1"/>
        <v>112.87283809523811</v>
      </c>
      <c r="K7" t="e">
        <f t="shared" si="2"/>
        <v>#N/A</v>
      </c>
    </row>
    <row r="8" spans="3:11" x14ac:dyDescent="0.25">
      <c r="C8" t="str">
        <f>Peserta_Didik!C7</f>
        <v>Cecep Solehudin</v>
      </c>
      <c r="D8">
        <f>Capaian1!CY9</f>
        <v>57.937476190476183</v>
      </c>
      <c r="E8">
        <f>Capaian1!CZ9</f>
        <v>59.275914285714293</v>
      </c>
      <c r="F8">
        <f>Capaian1!DA9</f>
        <v>117.21339047619048</v>
      </c>
      <c r="G8">
        <f t="shared" si="0"/>
        <v>6</v>
      </c>
      <c r="J8">
        <f t="shared" si="1"/>
        <v>113.64824761904762</v>
      </c>
      <c r="K8" t="e">
        <f t="shared" si="2"/>
        <v>#N/A</v>
      </c>
    </row>
    <row r="9" spans="3:11" x14ac:dyDescent="0.25">
      <c r="C9" t="str">
        <f>Peserta_Didik!C8</f>
        <v>Cepy Septiahadi</v>
      </c>
      <c r="D9">
        <f>Capaian1!CY10</f>
        <v>56.062952380952382</v>
      </c>
      <c r="E9">
        <f>Capaian1!CZ10</f>
        <v>57.585295238095242</v>
      </c>
      <c r="F9">
        <f>Capaian1!DA10</f>
        <v>113.64824761904762</v>
      </c>
      <c r="G9">
        <f t="shared" si="0"/>
        <v>36</v>
      </c>
      <c r="J9">
        <f t="shared" si="1"/>
        <v>113.67519047619048</v>
      </c>
      <c r="K9" t="e">
        <f t="shared" si="2"/>
        <v>#N/A</v>
      </c>
    </row>
    <row r="10" spans="3:11" x14ac:dyDescent="0.25">
      <c r="C10" t="str">
        <f>Peserta_Didik!C9</f>
        <v>Chandra Khoerudin</v>
      </c>
      <c r="D10">
        <f>Capaian1!CY11</f>
        <v>56.609380952380953</v>
      </c>
      <c r="E10">
        <f>Capaian1!CZ11</f>
        <v>58.212838095238084</v>
      </c>
      <c r="F10">
        <f>Capaian1!DA11</f>
        <v>114.82221904761903</v>
      </c>
      <c r="G10">
        <f t="shared" si="0"/>
        <v>23</v>
      </c>
      <c r="J10">
        <f t="shared" si="1"/>
        <v>113.71778095238096</v>
      </c>
      <c r="K10" t="e">
        <f t="shared" si="2"/>
        <v>#N/A</v>
      </c>
    </row>
    <row r="11" spans="3:11" x14ac:dyDescent="0.25">
      <c r="C11" t="str">
        <f>Peserta_Didik!C10</f>
        <v>Chepy Trisnandar</v>
      </c>
      <c r="D11">
        <f>Capaian1!CY12</f>
        <v>57.488009523809517</v>
      </c>
      <c r="E11">
        <f>Capaian1!CZ12</f>
        <v>59.676180952380975</v>
      </c>
      <c r="F11">
        <f>Capaian1!DA12</f>
        <v>117.1641904761905</v>
      </c>
      <c r="G11">
        <f t="shared" si="0"/>
        <v>7</v>
      </c>
      <c r="J11">
        <f t="shared" si="1"/>
        <v>113.73546666666667</v>
      </c>
      <c r="K11" t="e">
        <f t="shared" si="2"/>
        <v>#N/A</v>
      </c>
    </row>
    <row r="12" spans="3:11" x14ac:dyDescent="0.25">
      <c r="C12" t="str">
        <f>Peserta_Didik!C11</f>
        <v>Dinda Prastiwi</v>
      </c>
      <c r="D12">
        <f>Capaian1!CY13</f>
        <v>57.459333333333333</v>
      </c>
      <c r="E12">
        <f>Capaian1!CZ13</f>
        <v>58.59846666666666</v>
      </c>
      <c r="F12">
        <f>Capaian1!DA13</f>
        <v>116.05779999999999</v>
      </c>
      <c r="G12">
        <f t="shared" si="0"/>
        <v>13</v>
      </c>
      <c r="J12">
        <f t="shared" si="1"/>
        <v>113.97714285714285</v>
      </c>
      <c r="K12" t="e">
        <f t="shared" si="2"/>
        <v>#N/A</v>
      </c>
    </row>
    <row r="13" spans="3:11" x14ac:dyDescent="0.25">
      <c r="C13" t="str">
        <f>Peserta_Didik!C12</f>
        <v>Dwiki Pratama Suherman</v>
      </c>
      <c r="D13">
        <f>Capaian1!CY14</f>
        <v>56.513990476190472</v>
      </c>
      <c r="E13">
        <f>Capaian1!CZ14</f>
        <v>58.455152380952377</v>
      </c>
      <c r="F13">
        <f>Capaian1!DA14</f>
        <v>114.96914285714286</v>
      </c>
      <c r="G13">
        <f t="shared" si="0"/>
        <v>20</v>
      </c>
      <c r="J13">
        <f t="shared" si="1"/>
        <v>114.03488571428574</v>
      </c>
      <c r="K13" t="e">
        <f t="shared" si="2"/>
        <v>#N/A</v>
      </c>
    </row>
    <row r="14" spans="3:11" x14ac:dyDescent="0.25">
      <c r="C14" t="str">
        <f>Peserta_Didik!C13</f>
        <v>Erry Nur Azhari</v>
      </c>
      <c r="D14">
        <f>Capaian1!CY15</f>
        <v>57.706428571428567</v>
      </c>
      <c r="E14">
        <f>Capaian1!CZ15</f>
        <v>57.847409523809532</v>
      </c>
      <c r="F14">
        <f>Capaian1!DA15</f>
        <v>115.55383809523809</v>
      </c>
      <c r="G14">
        <f t="shared" si="0"/>
        <v>17</v>
      </c>
      <c r="J14">
        <f t="shared" si="1"/>
        <v>114.11739999999999</v>
      </c>
      <c r="K14" t="e">
        <f t="shared" si="2"/>
        <v>#N/A</v>
      </c>
    </row>
    <row r="15" spans="3:11" x14ac:dyDescent="0.25">
      <c r="C15" t="str">
        <f>Peserta_Didik!C14</f>
        <v>Gita Cahya Aulia</v>
      </c>
      <c r="D15">
        <f>Capaian1!CY16</f>
        <v>57.758447619047601</v>
      </c>
      <c r="E15">
        <f>Capaian1!CZ16</f>
        <v>58.951238095238097</v>
      </c>
      <c r="F15">
        <f>Capaian1!DA16</f>
        <v>116.7096857142857</v>
      </c>
      <c r="G15">
        <f t="shared" si="0"/>
        <v>8</v>
      </c>
      <c r="J15">
        <f t="shared" si="1"/>
        <v>114.17559047619048</v>
      </c>
      <c r="K15" t="e">
        <f t="shared" si="2"/>
        <v>#N/A</v>
      </c>
    </row>
    <row r="16" spans="3:11" x14ac:dyDescent="0.25">
      <c r="C16" t="str">
        <f>Peserta_Didik!C15</f>
        <v>Hamim Yusuf</v>
      </c>
      <c r="D16">
        <f>Capaian1!CY17</f>
        <v>56.970333333333343</v>
      </c>
      <c r="E16">
        <f>Capaian1!CZ17</f>
        <v>57.852066666666659</v>
      </c>
      <c r="F16">
        <f>Capaian1!DA17</f>
        <v>114.8224</v>
      </c>
      <c r="G16">
        <f t="shared" si="0"/>
        <v>22</v>
      </c>
      <c r="J16">
        <f t="shared" si="1"/>
        <v>114.2724</v>
      </c>
      <c r="K16" t="e">
        <f t="shared" si="2"/>
        <v>#N/A</v>
      </c>
    </row>
    <row r="17" spans="3:11" x14ac:dyDescent="0.25">
      <c r="C17" t="str">
        <f>Peserta_Didik!C16</f>
        <v>Hamzah Ashari</v>
      </c>
      <c r="D17">
        <f>Capaian1!CY18</f>
        <v>56.56222857142857</v>
      </c>
      <c r="E17">
        <f>Capaian1!CZ18</f>
        <v>58.124942857142855</v>
      </c>
      <c r="F17">
        <f>Capaian1!DA18</f>
        <v>114.68717142857142</v>
      </c>
      <c r="G17">
        <f t="shared" si="0"/>
        <v>25</v>
      </c>
      <c r="J17">
        <f t="shared" si="1"/>
        <v>114.34686666666667</v>
      </c>
      <c r="K17" t="e">
        <f t="shared" si="2"/>
        <v>#N/A</v>
      </c>
    </row>
    <row r="18" spans="3:11" x14ac:dyDescent="0.25">
      <c r="C18" t="str">
        <f>Peserta_Didik!C17</f>
        <v>Harry Sandi</v>
      </c>
      <c r="D18">
        <f>Capaian1!CY19</f>
        <v>58.672209523809535</v>
      </c>
      <c r="E18">
        <f>Capaian1!CZ19</f>
        <v>59.571447619047618</v>
      </c>
      <c r="F18">
        <f>Capaian1!DA19</f>
        <v>118.24365714285716</v>
      </c>
      <c r="G18">
        <f t="shared" si="0"/>
        <v>4</v>
      </c>
      <c r="J18">
        <f t="shared" si="1"/>
        <v>114.56134285714288</v>
      </c>
      <c r="K18" t="e">
        <f t="shared" si="2"/>
        <v>#N/A</v>
      </c>
    </row>
    <row r="19" spans="3:11" x14ac:dyDescent="0.25">
      <c r="C19" t="str">
        <f>Peserta_Didik!C18</f>
        <v>Hilman Fajri Fahriansyah</v>
      </c>
      <c r="D19">
        <f>Capaian1!CY20</f>
        <v>56.743457142857146</v>
      </c>
      <c r="E19">
        <f>Capaian1!CZ20</f>
        <v>57.817885714285723</v>
      </c>
      <c r="F19">
        <f>Capaian1!DA20</f>
        <v>114.56134285714288</v>
      </c>
      <c r="G19">
        <f t="shared" si="0"/>
        <v>26</v>
      </c>
      <c r="J19">
        <f t="shared" si="1"/>
        <v>114.68717142857142</v>
      </c>
      <c r="K19" t="e">
        <f t="shared" si="2"/>
        <v>#N/A</v>
      </c>
    </row>
    <row r="20" spans="3:11" x14ac:dyDescent="0.25">
      <c r="C20" t="str">
        <f>Peserta_Didik!C19</f>
        <v>Ilham Sidiq</v>
      </c>
      <c r="D20">
        <f>Capaian1!CY21</f>
        <v>56.593599999999995</v>
      </c>
      <c r="E20">
        <f>Capaian1!CZ21</f>
        <v>57.678800000000003</v>
      </c>
      <c r="F20">
        <f>Capaian1!DA21</f>
        <v>114.2724</v>
      </c>
      <c r="G20">
        <f t="shared" si="0"/>
        <v>28</v>
      </c>
      <c r="J20">
        <f t="shared" si="1"/>
        <v>114.77244761904763</v>
      </c>
      <c r="K20" t="e">
        <f t="shared" si="2"/>
        <v>#N/A</v>
      </c>
    </row>
    <row r="21" spans="3:11" x14ac:dyDescent="0.25">
      <c r="C21" t="str">
        <f>Peserta_Didik!C20</f>
        <v>Irfan Ahmad Fadhil</v>
      </c>
      <c r="D21">
        <f>Capaian1!CY22</f>
        <v>56.32648571428571</v>
      </c>
      <c r="E21">
        <f>Capaian1!CZ22</f>
        <v>57.391295238095246</v>
      </c>
      <c r="F21">
        <f>Capaian1!DA22</f>
        <v>113.71778095238096</v>
      </c>
      <c r="G21">
        <f t="shared" si="0"/>
        <v>34</v>
      </c>
      <c r="J21">
        <f t="shared" si="1"/>
        <v>114.82221904761903</v>
      </c>
      <c r="K21" t="e">
        <f t="shared" si="2"/>
        <v>#N/A</v>
      </c>
    </row>
    <row r="22" spans="3:11" x14ac:dyDescent="0.25">
      <c r="C22" t="str">
        <f>Peserta_Didik!C21</f>
        <v>Kharismauli Cindi Cenora BR Limbong</v>
      </c>
      <c r="D22">
        <f>Capaian1!CY23</f>
        <v>56.239276190476197</v>
      </c>
      <c r="E22">
        <f>Capaian1!CZ23</f>
        <v>57.435914285714283</v>
      </c>
      <c r="F22">
        <f>Capaian1!DA23</f>
        <v>113.67519047619048</v>
      </c>
      <c r="G22">
        <f t="shared" si="0"/>
        <v>35</v>
      </c>
      <c r="J22">
        <f t="shared" si="1"/>
        <v>114.8224</v>
      </c>
      <c r="K22" t="e">
        <f t="shared" si="2"/>
        <v>#N/A</v>
      </c>
    </row>
    <row r="23" spans="3:11" x14ac:dyDescent="0.25">
      <c r="C23" t="str">
        <f>Peserta_Didik!C22</f>
        <v>Lalan Maulana Yusup</v>
      </c>
      <c r="D23">
        <f>Capaian1!CY24</f>
        <v>56.680466666666661</v>
      </c>
      <c r="E23">
        <f>Capaian1!CZ24</f>
        <v>57.055</v>
      </c>
      <c r="F23">
        <f>Capaian1!DA24</f>
        <v>113.73546666666667</v>
      </c>
      <c r="G23">
        <f t="shared" si="0"/>
        <v>33</v>
      </c>
      <c r="J23">
        <f t="shared" si="1"/>
        <v>114.86602857142857</v>
      </c>
      <c r="K23" t="e">
        <f t="shared" si="2"/>
        <v>#N/A</v>
      </c>
    </row>
    <row r="24" spans="3:11" x14ac:dyDescent="0.25">
      <c r="C24" t="str">
        <f>Peserta_Didik!C23</f>
        <v>Leni Yuniar</v>
      </c>
      <c r="D24">
        <f>Capaian1!CY25</f>
        <v>56.891752380952383</v>
      </c>
      <c r="E24">
        <f>Capaian1!CZ25</f>
        <v>57.88069523809525</v>
      </c>
      <c r="F24">
        <f>Capaian1!DA25</f>
        <v>114.77244761904763</v>
      </c>
      <c r="G24">
        <f t="shared" si="0"/>
        <v>24</v>
      </c>
      <c r="J24">
        <f t="shared" si="1"/>
        <v>114.96914285714286</v>
      </c>
      <c r="K24" t="e">
        <f t="shared" si="2"/>
        <v>#N/A</v>
      </c>
    </row>
    <row r="25" spans="3:11" x14ac:dyDescent="0.25">
      <c r="C25" t="str">
        <f>Peserta_Didik!C24</f>
        <v>Mochamad Fanny Luthfiana</v>
      </c>
      <c r="D25">
        <f>Capaian1!CY26</f>
        <v>57.77742857142858</v>
      </c>
      <c r="E25">
        <f>Capaian1!CZ26</f>
        <v>58.570476190476199</v>
      </c>
      <c r="F25">
        <f>Capaian1!DA26</f>
        <v>116.34790476190477</v>
      </c>
      <c r="G25">
        <f t="shared" si="0"/>
        <v>10</v>
      </c>
      <c r="J25">
        <f t="shared" si="1"/>
        <v>115.25305714285714</v>
      </c>
      <c r="K25" t="e">
        <f t="shared" si="2"/>
        <v>#N/A</v>
      </c>
    </row>
    <row r="26" spans="3:11" x14ac:dyDescent="0.25">
      <c r="C26" t="str">
        <f>Peserta_Didik!C25</f>
        <v>Mochammad Rofiq Sofyan</v>
      </c>
      <c r="D26">
        <f>Capaian1!CY27</f>
        <v>56.517923809523801</v>
      </c>
      <c r="E26">
        <f>Capaian1!CZ27</f>
        <v>57.459219047619051</v>
      </c>
      <c r="F26">
        <f>Capaian1!DA27</f>
        <v>113.97714285714285</v>
      </c>
      <c r="G26">
        <f t="shared" si="0"/>
        <v>32</v>
      </c>
      <c r="J26">
        <f t="shared" si="1"/>
        <v>115.25357142857143</v>
      </c>
      <c r="K26" t="e">
        <f t="shared" si="2"/>
        <v>#N/A</v>
      </c>
    </row>
    <row r="27" spans="3:11" x14ac:dyDescent="0.25">
      <c r="C27" t="str">
        <f>Peserta_Didik!C26</f>
        <v>Muhamad Rifki</v>
      </c>
      <c r="D27">
        <f>Capaian1!CY28</f>
        <v>57.11978095238095</v>
      </c>
      <c r="E27">
        <f>Capaian1!CZ28</f>
        <v>58.746371428571429</v>
      </c>
      <c r="F27">
        <f>Capaian1!DA28</f>
        <v>115.86615238095237</v>
      </c>
      <c r="G27">
        <f t="shared" si="0"/>
        <v>15</v>
      </c>
      <c r="J27">
        <f t="shared" si="1"/>
        <v>115.55383809523809</v>
      </c>
      <c r="K27" t="e">
        <f t="shared" si="2"/>
        <v>#N/A</v>
      </c>
    </row>
    <row r="28" spans="3:11" x14ac:dyDescent="0.25">
      <c r="C28" t="str">
        <f>Peserta_Didik!C27</f>
        <v>Muhammad Azka Ramadhan</v>
      </c>
      <c r="D28">
        <f>Capaian1!CY29</f>
        <v>56.007295238095239</v>
      </c>
      <c r="E28">
        <f>Capaian1!CZ29</f>
        <v>56.865542857142863</v>
      </c>
      <c r="F28">
        <f>Capaian1!DA29</f>
        <v>112.87283809523811</v>
      </c>
      <c r="G28">
        <f t="shared" si="0"/>
        <v>37</v>
      </c>
      <c r="J28">
        <f t="shared" si="1"/>
        <v>115.73099047619048</v>
      </c>
      <c r="K28" t="e">
        <f t="shared" si="2"/>
        <v>#N/A</v>
      </c>
    </row>
    <row r="29" spans="3:11" x14ac:dyDescent="0.25">
      <c r="C29" t="str">
        <f>Peserta_Didik!C28</f>
        <v>Muhammad Rizky Adrian</v>
      </c>
      <c r="D29">
        <f>Capaian1!CY30</f>
        <v>56.889571428571429</v>
      </c>
      <c r="E29">
        <f>Capaian1!CZ30</f>
        <v>57.976457142857143</v>
      </c>
      <c r="F29">
        <f>Capaian1!DA30</f>
        <v>114.86602857142857</v>
      </c>
      <c r="G29">
        <f t="shared" si="0"/>
        <v>21</v>
      </c>
      <c r="J29">
        <f t="shared" si="1"/>
        <v>115.86615238095237</v>
      </c>
      <c r="K29" t="e">
        <f t="shared" si="2"/>
        <v>#N/A</v>
      </c>
    </row>
    <row r="30" spans="3:11" x14ac:dyDescent="0.25">
      <c r="C30" t="str">
        <f>Peserta_Didik!C29</f>
        <v>Muhammad Sakhin Aliyyin</v>
      </c>
      <c r="D30">
        <f>Capaian1!CY31</f>
        <v>56.629799999999996</v>
      </c>
      <c r="E30">
        <f>Capaian1!CZ31</f>
        <v>57.717066666666668</v>
      </c>
      <c r="F30">
        <f>Capaian1!DA31</f>
        <v>114.34686666666667</v>
      </c>
      <c r="G30">
        <f t="shared" si="0"/>
        <v>27</v>
      </c>
      <c r="J30">
        <f t="shared" si="1"/>
        <v>115.95538095238093</v>
      </c>
      <c r="K30" t="e">
        <f t="shared" si="2"/>
        <v>#N/A</v>
      </c>
    </row>
    <row r="31" spans="3:11" x14ac:dyDescent="0.25">
      <c r="C31" t="str">
        <f>Peserta_Didik!C30</f>
        <v>Rafly Ramadhan</v>
      </c>
      <c r="D31">
        <f>Capaian1!CY32</f>
        <v>57.385076190476191</v>
      </c>
      <c r="E31">
        <f>Capaian1!CZ32</f>
        <v>58.345914285714294</v>
      </c>
      <c r="F31">
        <f>Capaian1!DA32</f>
        <v>115.73099047619048</v>
      </c>
      <c r="G31">
        <f t="shared" si="0"/>
        <v>16</v>
      </c>
      <c r="J31">
        <f t="shared" si="1"/>
        <v>116.05779999999999</v>
      </c>
      <c r="K31" t="e">
        <f t="shared" si="2"/>
        <v>#N/A</v>
      </c>
    </row>
    <row r="32" spans="3:11" x14ac:dyDescent="0.25">
      <c r="C32" t="str">
        <f>Peserta_Didik!C31</f>
        <v>Raka Bagus Hartanto</v>
      </c>
      <c r="D32">
        <f>Capaian1!CY33</f>
        <v>56.237285714285711</v>
      </c>
      <c r="E32">
        <f>Capaian1!CZ33</f>
        <v>57.797600000000017</v>
      </c>
      <c r="F32">
        <f>Capaian1!DA33</f>
        <v>114.03488571428574</v>
      </c>
      <c r="G32">
        <f t="shared" si="0"/>
        <v>31</v>
      </c>
      <c r="J32">
        <f t="shared" si="1"/>
        <v>116.06034285714284</v>
      </c>
      <c r="K32" t="e">
        <f t="shared" si="2"/>
        <v>#N/A</v>
      </c>
    </row>
    <row r="33" spans="3:11" x14ac:dyDescent="0.25">
      <c r="C33" t="str">
        <f>Peserta_Didik!C32</f>
        <v>Ramdan Rohadiat</v>
      </c>
      <c r="D33">
        <f>Capaian1!CY34</f>
        <v>58.777190476190469</v>
      </c>
      <c r="E33">
        <f>Capaian1!CZ34</f>
        <v>59.454685714285716</v>
      </c>
      <c r="F33">
        <f>Capaian1!DA34</f>
        <v>118.23187619047619</v>
      </c>
      <c r="G33">
        <f t="shared" si="0"/>
        <v>5</v>
      </c>
      <c r="J33">
        <f t="shared" si="1"/>
        <v>116.19683809523808</v>
      </c>
      <c r="K33" t="e">
        <f t="shared" si="2"/>
        <v>#N/A</v>
      </c>
    </row>
    <row r="34" spans="3:11" x14ac:dyDescent="0.25">
      <c r="C34" t="str">
        <f>Peserta_Didik!C33</f>
        <v>Reza Lesmana Budiman</v>
      </c>
      <c r="D34">
        <f>Capaian1!CY35</f>
        <v>56.322876190476187</v>
      </c>
      <c r="E34">
        <f>Capaian1!CZ35</f>
        <v>57.852714285714285</v>
      </c>
      <c r="F34">
        <f>Capaian1!DA35</f>
        <v>114.17559047619048</v>
      </c>
      <c r="G34">
        <f t="shared" si="0"/>
        <v>29</v>
      </c>
      <c r="J34">
        <f t="shared" si="1"/>
        <v>116.34790476190477</v>
      </c>
      <c r="K34" t="e">
        <f t="shared" si="2"/>
        <v>#N/A</v>
      </c>
    </row>
    <row r="35" spans="3:11" x14ac:dyDescent="0.25">
      <c r="C35" t="str">
        <f>Peserta_Didik!C34</f>
        <v>Septhi Tsaltsah Rosulani</v>
      </c>
      <c r="D35">
        <f>Capaian1!CY36</f>
        <v>57.107685714285708</v>
      </c>
      <c r="E35">
        <f>Capaian1!CZ36</f>
        <v>58.847695238095227</v>
      </c>
      <c r="F35">
        <f>Capaian1!DA36</f>
        <v>115.95538095238093</v>
      </c>
      <c r="G35">
        <f t="shared" si="0"/>
        <v>14</v>
      </c>
      <c r="J35">
        <f t="shared" si="1"/>
        <v>116.40332380952381</v>
      </c>
      <c r="K35" t="e">
        <f t="shared" si="2"/>
        <v>#N/A</v>
      </c>
    </row>
    <row r="36" spans="3:11" x14ac:dyDescent="0.25">
      <c r="C36" t="str">
        <f>Peserta_Didik!C35</f>
        <v>Silmi Farhah Fauziah</v>
      </c>
      <c r="D36">
        <f>Capaian1!CY37</f>
        <v>60.653409523809522</v>
      </c>
      <c r="E36">
        <f>Capaian1!CZ37</f>
        <v>61.068714285714286</v>
      </c>
      <c r="F36">
        <f>Capaian1!DA37</f>
        <v>121.72212380952381</v>
      </c>
      <c r="G36">
        <f t="shared" si="0"/>
        <v>2</v>
      </c>
      <c r="J36">
        <f t="shared" si="1"/>
        <v>116.7096857142857</v>
      </c>
      <c r="K36" t="e">
        <f t="shared" si="2"/>
        <v>#N/A</v>
      </c>
    </row>
    <row r="37" spans="3:11" x14ac:dyDescent="0.25">
      <c r="C37" t="str">
        <f>Peserta_Didik!C36</f>
        <v>Syahrul Nizam</v>
      </c>
      <c r="D37">
        <f>Capaian1!CY38</f>
        <v>57.491676190476191</v>
      </c>
      <c r="E37">
        <f>Capaian1!CZ38</f>
        <v>57.761380952380954</v>
      </c>
      <c r="F37">
        <f>Capaian1!DA38</f>
        <v>115.25305714285714</v>
      </c>
      <c r="G37">
        <f t="shared" si="0"/>
        <v>19</v>
      </c>
      <c r="J37">
        <f t="shared" si="1"/>
        <v>117.1641904761905</v>
      </c>
      <c r="K37" t="e">
        <f t="shared" si="2"/>
        <v>#N/A</v>
      </c>
    </row>
    <row r="38" spans="3:11" x14ac:dyDescent="0.25">
      <c r="C38" t="str">
        <f>Peserta_Didik!C37</f>
        <v>Teti Hanira</v>
      </c>
      <c r="D38">
        <f>Capaian1!CY39</f>
        <v>57.569695238095235</v>
      </c>
      <c r="E38">
        <f>Capaian1!CZ39</f>
        <v>58.490647619047614</v>
      </c>
      <c r="F38">
        <f>Capaian1!DA39</f>
        <v>116.06034285714284</v>
      </c>
      <c r="G38">
        <f t="shared" si="0"/>
        <v>12</v>
      </c>
      <c r="J38">
        <f t="shared" si="1"/>
        <v>117.21339047619048</v>
      </c>
      <c r="K38" t="e">
        <f t="shared" si="2"/>
        <v>#N/A</v>
      </c>
    </row>
    <row r="39" spans="3:11" x14ac:dyDescent="0.25">
      <c r="C39" t="str">
        <f>Peserta_Didik!C38</f>
        <v>Yongki Agustin</v>
      </c>
      <c r="D39">
        <f>Capaian1!CY40</f>
        <v>57.405761904761896</v>
      </c>
      <c r="E39">
        <f>Capaian1!CZ40</f>
        <v>58.791076190476183</v>
      </c>
      <c r="F39">
        <f>Capaian1!DA40</f>
        <v>116.19683809523808</v>
      </c>
      <c r="G39">
        <f t="shared" si="0"/>
        <v>11</v>
      </c>
      <c r="J39">
        <f t="shared" si="1"/>
        <v>118.23187619047619</v>
      </c>
      <c r="K39" t="e">
        <f t="shared" si="2"/>
        <v>#N/A</v>
      </c>
    </row>
    <row r="40" spans="3:11" x14ac:dyDescent="0.25">
      <c r="C40" t="str">
        <f>Peserta_Didik!C39</f>
        <v>Yusi Ridwan Firdaus</v>
      </c>
      <c r="D40">
        <f>Capaian1!CY41</f>
        <v>56.390799999999999</v>
      </c>
      <c r="E40">
        <f>Capaian1!CZ41</f>
        <v>57.726599999999991</v>
      </c>
      <c r="F40">
        <f>Capaian1!DA41</f>
        <v>114.11739999999999</v>
      </c>
      <c r="G40">
        <f t="shared" si="0"/>
        <v>30</v>
      </c>
      <c r="J40">
        <f t="shared" si="1"/>
        <v>118.24365714285716</v>
      </c>
      <c r="K40" t="e">
        <f t="shared" si="2"/>
        <v>#N/A</v>
      </c>
    </row>
    <row r="41" spans="3:11" x14ac:dyDescent="0.25">
      <c r="C41" t="str">
        <f>Peserta_Didik!C40</f>
        <v>Zineda Zidan</v>
      </c>
      <c r="D41">
        <f>Capaian1!CY42</f>
        <v>57.94894285714286</v>
      </c>
      <c r="E41">
        <f>Capaian1!CZ42</f>
        <v>58.454380952380951</v>
      </c>
      <c r="F41">
        <f>Capaian1!DA42</f>
        <v>116.40332380952381</v>
      </c>
      <c r="G41">
        <f t="shared" si="0"/>
        <v>9</v>
      </c>
      <c r="J41">
        <f t="shared" si="1"/>
        <v>118.53203809523811</v>
      </c>
      <c r="K41" t="e">
        <f t="shared" si="2"/>
        <v>#N/A</v>
      </c>
    </row>
    <row r="42" spans="3:11" x14ac:dyDescent="0.25">
      <c r="C42">
        <f>Peserta_Didik!C41</f>
        <v>0</v>
      </c>
      <c r="D42">
        <f>Capaian1!CY43</f>
        <v>0</v>
      </c>
      <c r="E42">
        <f>Capaian1!CZ43</f>
        <v>0</v>
      </c>
      <c r="F42">
        <f>Capaian1!DA43</f>
        <v>0</v>
      </c>
      <c r="G42">
        <f t="shared" si="0"/>
        <v>39</v>
      </c>
      <c r="J42">
        <f t="shared" si="1"/>
        <v>121.72212380952381</v>
      </c>
      <c r="K42" t="e">
        <f t="shared" si="2"/>
        <v>#N/A</v>
      </c>
    </row>
    <row r="43" spans="3:11" x14ac:dyDescent="0.25">
      <c r="C43">
        <f>Peserta_Didik!C42</f>
        <v>0</v>
      </c>
      <c r="D43">
        <f>Capaian1!CY44</f>
        <v>0</v>
      </c>
      <c r="E43">
        <f>Capaian1!CZ44</f>
        <v>0</v>
      </c>
      <c r="F43">
        <f>Capaian1!DA44</f>
        <v>0</v>
      </c>
      <c r="G43">
        <f t="shared" si="0"/>
        <v>39</v>
      </c>
      <c r="J43">
        <f t="shared" si="1"/>
        <v>123.92747619047618</v>
      </c>
      <c r="K43" t="e">
        <f t="shared" si="2"/>
        <v>#N/A</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10</vt:i4>
      </vt:variant>
    </vt:vector>
  </HeadingPairs>
  <TitlesOfParts>
    <vt:vector size="25" baseType="lpstr">
      <vt:lpstr>RK2013</vt:lpstr>
      <vt:lpstr>Informasi_Rapot</vt:lpstr>
      <vt:lpstr>Peserta_Didik</vt:lpstr>
      <vt:lpstr>Mata_Pelajaran</vt:lpstr>
      <vt:lpstr>Deskripsi1</vt:lpstr>
      <vt:lpstr>Capaian1</vt:lpstr>
      <vt:lpstr>Sampul1</vt:lpstr>
      <vt:lpstr>Sampul2</vt:lpstr>
      <vt:lpstr>Keterangan_Diri</vt:lpstr>
      <vt:lpstr>Cetak_Capaian1</vt:lpstr>
      <vt:lpstr>Cetak_Deskripsi1</vt:lpstr>
      <vt:lpstr>Leger_Capaian1</vt:lpstr>
      <vt:lpstr>Leger_Deskripsi1</vt:lpstr>
      <vt:lpstr>Tnd_Terima</vt:lpstr>
      <vt:lpstr>Sheet2</vt:lpstr>
      <vt:lpstr>Ganjil</vt:lpstr>
      <vt:lpstr>Cetak_Capaian1!Print_Area</vt:lpstr>
      <vt:lpstr>Cetak_Deskripsi1!Print_Area</vt:lpstr>
      <vt:lpstr>Keterangan_Diri!Print_Area</vt:lpstr>
      <vt:lpstr>Leger_Capaian1!Print_Area</vt:lpstr>
      <vt:lpstr>Sampul1!Print_Area</vt:lpstr>
      <vt:lpstr>Sampul2!Print_Area</vt:lpstr>
      <vt:lpstr>Cetak_Capaian1!Print_Titles</vt:lpstr>
      <vt:lpstr>Cetak_Deskripsi1!Print_Titles</vt:lpstr>
      <vt:lpstr>Leger_Capaian1!Print_Titles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yudhernation</dc:creator>
  <cp:lastModifiedBy>Uci</cp:lastModifiedBy>
  <cp:lastPrinted>2015-06-16T07:54:39Z</cp:lastPrinted>
  <dcterms:created xsi:type="dcterms:W3CDTF">2013-11-07T06:40:47Z</dcterms:created>
  <dcterms:modified xsi:type="dcterms:W3CDTF">2015-06-16T08:12:04Z</dcterms:modified>
</cp:coreProperties>
</file>